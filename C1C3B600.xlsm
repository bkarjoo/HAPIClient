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35" windowWidth="18840" windowHeight="10665"/>
  </bookViews>
  <sheets>
    <sheet name="Sheet1" sheetId="1" r:id="rId1"/>
    <sheet name="Sheet2" sheetId="2" r:id="rId2"/>
    <sheet name="Sheet3" sheetId="3" r:id="rId3"/>
  </sheets>
  <calcPr calcId="145621"/>
  <fileRecoveryPr repairLoad="1"/>
</workbook>
</file>

<file path=xl/calcChain.xml><?xml version="1.0" encoding="utf-8"?>
<calcChain xmlns="http://schemas.openxmlformats.org/spreadsheetml/2006/main">
  <c r="O2" i="1" l="1"/>
  <c r="N2" i="1"/>
  <c r="M2" i="1"/>
  <c r="L2" i="1"/>
  <c r="K2" i="1"/>
  <c r="J2" i="1"/>
  <c r="I2" i="1"/>
  <c r="H2" i="1"/>
  <c r="G2" i="1"/>
  <c r="F2" i="1"/>
  <c r="E2" i="1"/>
  <c r="D2" i="1"/>
  <c r="P503" i="1"/>
  <c r="L503" i="1"/>
  <c r="H503" i="1"/>
  <c r="D503" i="1"/>
  <c r="O502" i="1"/>
  <c r="K502" i="1"/>
  <c r="G502" i="1"/>
  <c r="C502" i="1"/>
  <c r="N501" i="1"/>
  <c r="J501" i="1"/>
  <c r="F501" i="1"/>
  <c r="B501" i="1"/>
  <c r="M500" i="1"/>
  <c r="I500" i="1"/>
  <c r="E500" i="1"/>
  <c r="P499" i="1"/>
  <c r="L499" i="1"/>
  <c r="H499" i="1"/>
  <c r="D499" i="1"/>
  <c r="O498" i="1"/>
  <c r="K498" i="1"/>
  <c r="G498" i="1"/>
  <c r="C498" i="1"/>
  <c r="N497" i="1"/>
  <c r="J497" i="1"/>
  <c r="F497" i="1"/>
  <c r="B497" i="1"/>
  <c r="M496" i="1"/>
  <c r="I496" i="1"/>
  <c r="E496" i="1"/>
  <c r="P495" i="1"/>
  <c r="L495" i="1"/>
  <c r="H495" i="1"/>
  <c r="D495" i="1"/>
  <c r="O494" i="1"/>
  <c r="K494" i="1"/>
  <c r="G494" i="1"/>
  <c r="C494" i="1"/>
  <c r="N493" i="1"/>
  <c r="J493" i="1"/>
  <c r="F493" i="1"/>
  <c r="B493" i="1"/>
  <c r="M492" i="1"/>
  <c r="I492" i="1"/>
  <c r="E492" i="1"/>
  <c r="P491" i="1"/>
  <c r="L491" i="1"/>
  <c r="H491" i="1"/>
  <c r="D491" i="1"/>
  <c r="O490" i="1"/>
  <c r="K490" i="1"/>
  <c r="G490" i="1"/>
  <c r="C490" i="1"/>
  <c r="N489" i="1"/>
  <c r="J489" i="1"/>
  <c r="F489" i="1"/>
  <c r="B489" i="1"/>
  <c r="M488" i="1"/>
  <c r="I488" i="1"/>
  <c r="E488" i="1"/>
  <c r="P487" i="1"/>
  <c r="L487" i="1"/>
  <c r="H487" i="1"/>
  <c r="D487" i="1"/>
  <c r="O486" i="1"/>
  <c r="K486" i="1"/>
  <c r="G486" i="1"/>
  <c r="C486" i="1"/>
  <c r="N485" i="1"/>
  <c r="J485" i="1"/>
  <c r="F485" i="1"/>
  <c r="B485" i="1"/>
  <c r="M484" i="1"/>
  <c r="I484" i="1"/>
  <c r="E484" i="1"/>
  <c r="P483" i="1"/>
  <c r="L483" i="1"/>
  <c r="H483" i="1"/>
  <c r="D483" i="1"/>
  <c r="O482" i="1"/>
  <c r="K482" i="1"/>
  <c r="G482" i="1"/>
  <c r="C482" i="1"/>
  <c r="N481" i="1"/>
  <c r="J481" i="1"/>
  <c r="F481" i="1"/>
  <c r="B481" i="1"/>
  <c r="M480" i="1"/>
  <c r="I480" i="1"/>
  <c r="E480" i="1"/>
  <c r="P479" i="1"/>
  <c r="L479" i="1"/>
  <c r="H479" i="1"/>
  <c r="D479" i="1"/>
  <c r="O478" i="1"/>
  <c r="K478" i="1"/>
  <c r="G478" i="1"/>
  <c r="C478" i="1"/>
  <c r="N477" i="1"/>
  <c r="J477" i="1"/>
  <c r="F477" i="1"/>
  <c r="B477" i="1"/>
  <c r="M476" i="1"/>
  <c r="I476" i="1"/>
  <c r="E476" i="1"/>
  <c r="P475" i="1"/>
  <c r="L475" i="1"/>
  <c r="H475" i="1"/>
  <c r="D475" i="1"/>
  <c r="O474" i="1"/>
  <c r="K474" i="1"/>
  <c r="G474" i="1"/>
  <c r="C474" i="1"/>
  <c r="N473" i="1"/>
  <c r="J473" i="1"/>
  <c r="F473" i="1"/>
  <c r="B473" i="1"/>
  <c r="M472" i="1"/>
  <c r="I472" i="1"/>
  <c r="E472" i="1"/>
  <c r="P471" i="1"/>
  <c r="L471" i="1"/>
  <c r="H471" i="1"/>
  <c r="D471" i="1"/>
  <c r="O470" i="1"/>
  <c r="K470" i="1"/>
  <c r="O503" i="1"/>
  <c r="K503" i="1"/>
  <c r="G503" i="1"/>
  <c r="C503" i="1"/>
  <c r="N502" i="1"/>
  <c r="J502" i="1"/>
  <c r="F502" i="1"/>
  <c r="B502" i="1"/>
  <c r="M501" i="1"/>
  <c r="I501" i="1"/>
  <c r="E501" i="1"/>
  <c r="P500" i="1"/>
  <c r="L500" i="1"/>
  <c r="H500" i="1"/>
  <c r="D500" i="1"/>
  <c r="O499" i="1"/>
  <c r="K499" i="1"/>
  <c r="G499" i="1"/>
  <c r="C499" i="1"/>
  <c r="N498" i="1"/>
  <c r="J498" i="1"/>
  <c r="F498" i="1"/>
  <c r="B498" i="1"/>
  <c r="M497" i="1"/>
  <c r="I497" i="1"/>
  <c r="E497" i="1"/>
  <c r="P496" i="1"/>
  <c r="L496" i="1"/>
  <c r="H496" i="1"/>
  <c r="D496" i="1"/>
  <c r="O495" i="1"/>
  <c r="K495" i="1"/>
  <c r="G495" i="1"/>
  <c r="C495" i="1"/>
  <c r="N494" i="1"/>
  <c r="J494" i="1"/>
  <c r="F494" i="1"/>
  <c r="B494" i="1"/>
  <c r="M493" i="1"/>
  <c r="I493" i="1"/>
  <c r="E493" i="1"/>
  <c r="P492" i="1"/>
  <c r="L492" i="1"/>
  <c r="H492" i="1"/>
  <c r="D492" i="1"/>
  <c r="O491" i="1"/>
  <c r="K491" i="1"/>
  <c r="G491" i="1"/>
  <c r="C491" i="1"/>
  <c r="N490" i="1"/>
  <c r="J490" i="1"/>
  <c r="F490" i="1"/>
  <c r="B490" i="1"/>
  <c r="M489" i="1"/>
  <c r="I489" i="1"/>
  <c r="E489" i="1"/>
  <c r="P488" i="1"/>
  <c r="L488" i="1"/>
  <c r="H488" i="1"/>
  <c r="D488" i="1"/>
  <c r="O487" i="1"/>
  <c r="K487" i="1"/>
  <c r="G487" i="1"/>
  <c r="C487" i="1"/>
  <c r="N486" i="1"/>
  <c r="J486" i="1"/>
  <c r="F486" i="1"/>
  <c r="B486" i="1"/>
  <c r="M485" i="1"/>
  <c r="I485" i="1"/>
  <c r="E485" i="1"/>
  <c r="P484" i="1"/>
  <c r="L484" i="1"/>
  <c r="H484" i="1"/>
  <c r="D484" i="1"/>
  <c r="O483" i="1"/>
  <c r="K483" i="1"/>
  <c r="G483" i="1"/>
  <c r="C483" i="1"/>
  <c r="N482" i="1"/>
  <c r="J482" i="1"/>
  <c r="F482" i="1"/>
  <c r="B482" i="1"/>
  <c r="M481" i="1"/>
  <c r="I481" i="1"/>
  <c r="E481" i="1"/>
  <c r="P480" i="1"/>
  <c r="L480" i="1"/>
  <c r="H480" i="1"/>
  <c r="D480" i="1"/>
  <c r="O479" i="1"/>
  <c r="K479" i="1"/>
  <c r="G479" i="1"/>
  <c r="C479" i="1"/>
  <c r="N478" i="1"/>
  <c r="J478" i="1"/>
  <c r="F478" i="1"/>
  <c r="B478" i="1"/>
  <c r="M477" i="1"/>
  <c r="I477" i="1"/>
  <c r="E477" i="1"/>
  <c r="P476" i="1"/>
  <c r="L476" i="1"/>
  <c r="H476" i="1"/>
  <c r="D476" i="1"/>
  <c r="O475" i="1"/>
  <c r="K475" i="1"/>
  <c r="G475" i="1"/>
  <c r="C475" i="1"/>
  <c r="N474" i="1"/>
  <c r="J474" i="1"/>
  <c r="F474" i="1"/>
  <c r="B474" i="1"/>
  <c r="M473" i="1"/>
  <c r="I473" i="1"/>
  <c r="E473" i="1"/>
  <c r="P472" i="1"/>
  <c r="L472" i="1"/>
  <c r="H472" i="1"/>
  <c r="D472" i="1"/>
  <c r="O471" i="1"/>
  <c r="K471" i="1"/>
  <c r="G471" i="1"/>
  <c r="C471" i="1"/>
  <c r="N470" i="1"/>
  <c r="J470" i="1"/>
  <c r="F470" i="1"/>
  <c r="M503" i="1"/>
  <c r="I503" i="1"/>
  <c r="E503" i="1"/>
  <c r="P502" i="1"/>
  <c r="L502" i="1"/>
  <c r="H502" i="1"/>
  <c r="D502" i="1"/>
  <c r="O501" i="1"/>
  <c r="K501" i="1"/>
  <c r="G501" i="1"/>
  <c r="C501" i="1"/>
  <c r="N500" i="1"/>
  <c r="J500" i="1"/>
  <c r="F500" i="1"/>
  <c r="B500" i="1"/>
  <c r="M499" i="1"/>
  <c r="I499" i="1"/>
  <c r="E499" i="1"/>
  <c r="P498" i="1"/>
  <c r="L498" i="1"/>
  <c r="H498" i="1"/>
  <c r="D498" i="1"/>
  <c r="O497" i="1"/>
  <c r="K497" i="1"/>
  <c r="G497" i="1"/>
  <c r="C497" i="1"/>
  <c r="N496" i="1"/>
  <c r="J496" i="1"/>
  <c r="F496" i="1"/>
  <c r="B496" i="1"/>
  <c r="M495" i="1"/>
  <c r="I495" i="1"/>
  <c r="E495" i="1"/>
  <c r="P494" i="1"/>
  <c r="L494" i="1"/>
  <c r="H494" i="1"/>
  <c r="D494" i="1"/>
  <c r="O493" i="1"/>
  <c r="K493" i="1"/>
  <c r="G493" i="1"/>
  <c r="C493" i="1"/>
  <c r="N492" i="1"/>
  <c r="J492" i="1"/>
  <c r="F492" i="1"/>
  <c r="B492" i="1"/>
  <c r="M491" i="1"/>
  <c r="I491" i="1"/>
  <c r="E491" i="1"/>
  <c r="P490" i="1"/>
  <c r="L490" i="1"/>
  <c r="H490" i="1"/>
  <c r="D490" i="1"/>
  <c r="O489" i="1"/>
  <c r="K489" i="1"/>
  <c r="G489" i="1"/>
  <c r="C489" i="1"/>
  <c r="N488" i="1"/>
  <c r="J488" i="1"/>
  <c r="F488" i="1"/>
  <c r="B488" i="1"/>
  <c r="M487" i="1"/>
  <c r="I487" i="1"/>
  <c r="E487" i="1"/>
  <c r="P486" i="1"/>
  <c r="L486" i="1"/>
  <c r="H486" i="1"/>
  <c r="D486" i="1"/>
  <c r="O485" i="1"/>
  <c r="K485" i="1"/>
  <c r="G485" i="1"/>
  <c r="C485" i="1"/>
  <c r="N484" i="1"/>
  <c r="J484" i="1"/>
  <c r="F484" i="1"/>
  <c r="B484" i="1"/>
  <c r="M483" i="1"/>
  <c r="I483" i="1"/>
  <c r="E483" i="1"/>
  <c r="P482" i="1"/>
  <c r="L482" i="1"/>
  <c r="H482" i="1"/>
  <c r="D482" i="1"/>
  <c r="O481" i="1"/>
  <c r="K481" i="1"/>
  <c r="G481" i="1"/>
  <c r="C481" i="1"/>
  <c r="N480" i="1"/>
  <c r="J480" i="1"/>
  <c r="F480" i="1"/>
  <c r="B480" i="1"/>
  <c r="M479" i="1"/>
  <c r="I479" i="1"/>
  <c r="E479" i="1"/>
  <c r="P478" i="1"/>
  <c r="L478" i="1"/>
  <c r="H478" i="1"/>
  <c r="D478" i="1"/>
  <c r="O477" i="1"/>
  <c r="K477" i="1"/>
  <c r="G477" i="1"/>
  <c r="C477" i="1"/>
  <c r="N476" i="1"/>
  <c r="J476" i="1"/>
  <c r="F476" i="1"/>
  <c r="B476" i="1"/>
  <c r="M475" i="1"/>
  <c r="I475" i="1"/>
  <c r="E475" i="1"/>
  <c r="P474" i="1"/>
  <c r="L474" i="1"/>
  <c r="H474" i="1"/>
  <c r="D474" i="1"/>
  <c r="O473" i="1"/>
  <c r="K473" i="1"/>
  <c r="G473" i="1"/>
  <c r="C473" i="1"/>
  <c r="N472" i="1"/>
  <c r="J472" i="1"/>
  <c r="F472" i="1"/>
  <c r="B472" i="1"/>
  <c r="M471" i="1"/>
  <c r="I471" i="1"/>
  <c r="E471" i="1"/>
  <c r="P470" i="1"/>
  <c r="L470" i="1"/>
  <c r="N503" i="1"/>
  <c r="M502" i="1"/>
  <c r="L501" i="1"/>
  <c r="K500" i="1"/>
  <c r="J499" i="1"/>
  <c r="I498" i="1"/>
  <c r="H497" i="1"/>
  <c r="G496" i="1"/>
  <c r="F495" i="1"/>
  <c r="E494" i="1"/>
  <c r="D493" i="1"/>
  <c r="C492" i="1"/>
  <c r="B491" i="1"/>
  <c r="P489" i="1"/>
  <c r="O488" i="1"/>
  <c r="N487" i="1"/>
  <c r="M486" i="1"/>
  <c r="L485" i="1"/>
  <c r="K484" i="1"/>
  <c r="J483" i="1"/>
  <c r="I482" i="1"/>
  <c r="H481" i="1"/>
  <c r="G480" i="1"/>
  <c r="F479" i="1"/>
  <c r="E478" i="1"/>
  <c r="D477" i="1"/>
  <c r="C476" i="1"/>
  <c r="B475" i="1"/>
  <c r="P473" i="1"/>
  <c r="O472" i="1"/>
  <c r="N471" i="1"/>
  <c r="M470" i="1"/>
  <c r="E470" i="1"/>
  <c r="P469" i="1"/>
  <c r="L469" i="1"/>
  <c r="H469" i="1"/>
  <c r="D469" i="1"/>
  <c r="O468" i="1"/>
  <c r="K468" i="1"/>
  <c r="G468" i="1"/>
  <c r="C468" i="1"/>
  <c r="N467" i="1"/>
  <c r="J467" i="1"/>
  <c r="F467" i="1"/>
  <c r="B467" i="1"/>
  <c r="M466" i="1"/>
  <c r="I466" i="1"/>
  <c r="E466" i="1"/>
  <c r="P465" i="1"/>
  <c r="L465" i="1"/>
  <c r="H465" i="1"/>
  <c r="D465" i="1"/>
  <c r="O464" i="1"/>
  <c r="K464" i="1"/>
  <c r="G464" i="1"/>
  <c r="C464" i="1"/>
  <c r="N463" i="1"/>
  <c r="J463" i="1"/>
  <c r="F463" i="1"/>
  <c r="B463" i="1"/>
  <c r="M462" i="1"/>
  <c r="I462" i="1"/>
  <c r="E462" i="1"/>
  <c r="P461" i="1"/>
  <c r="L461" i="1"/>
  <c r="H461" i="1"/>
  <c r="D461" i="1"/>
  <c r="O460" i="1"/>
  <c r="K460" i="1"/>
  <c r="G460" i="1"/>
  <c r="C460" i="1"/>
  <c r="N459" i="1"/>
  <c r="J459" i="1"/>
  <c r="F459" i="1"/>
  <c r="B459" i="1"/>
  <c r="M458" i="1"/>
  <c r="I458" i="1"/>
  <c r="E458" i="1"/>
  <c r="P457" i="1"/>
  <c r="L457" i="1"/>
  <c r="H457" i="1"/>
  <c r="D457" i="1"/>
  <c r="O456" i="1"/>
  <c r="K456" i="1"/>
  <c r="G456" i="1"/>
  <c r="C456" i="1"/>
  <c r="N455" i="1"/>
  <c r="J455" i="1"/>
  <c r="F455" i="1"/>
  <c r="B455" i="1"/>
  <c r="M454" i="1"/>
  <c r="I454" i="1"/>
  <c r="E454" i="1"/>
  <c r="P453" i="1"/>
  <c r="L453" i="1"/>
  <c r="H453" i="1"/>
  <c r="D453" i="1"/>
  <c r="O452" i="1"/>
  <c r="K452" i="1"/>
  <c r="G452" i="1"/>
  <c r="C452" i="1"/>
  <c r="N451" i="1"/>
  <c r="J451" i="1"/>
  <c r="F451" i="1"/>
  <c r="B451" i="1"/>
  <c r="M450" i="1"/>
  <c r="I450" i="1"/>
  <c r="E450" i="1"/>
  <c r="P449" i="1"/>
  <c r="L449" i="1"/>
  <c r="H449" i="1"/>
  <c r="D449" i="1"/>
  <c r="O448" i="1"/>
  <c r="K448" i="1"/>
  <c r="G448" i="1"/>
  <c r="C448" i="1"/>
  <c r="N447" i="1"/>
  <c r="J447" i="1"/>
  <c r="F447" i="1"/>
  <c r="B447" i="1"/>
  <c r="M446" i="1"/>
  <c r="I446" i="1"/>
  <c r="E446" i="1"/>
  <c r="P445" i="1"/>
  <c r="J503" i="1"/>
  <c r="I502" i="1"/>
  <c r="H501" i="1"/>
  <c r="G500" i="1"/>
  <c r="F499" i="1"/>
  <c r="E498" i="1"/>
  <c r="D497" i="1"/>
  <c r="C496" i="1"/>
  <c r="B495" i="1"/>
  <c r="P493" i="1"/>
  <c r="O492" i="1"/>
  <c r="N491" i="1"/>
  <c r="M490" i="1"/>
  <c r="L489" i="1"/>
  <c r="K488" i="1"/>
  <c r="J487" i="1"/>
  <c r="I486" i="1"/>
  <c r="H485" i="1"/>
  <c r="G484" i="1"/>
  <c r="F483" i="1"/>
  <c r="E482" i="1"/>
  <c r="D481" i="1"/>
  <c r="C480" i="1"/>
  <c r="B479" i="1"/>
  <c r="P477" i="1"/>
  <c r="O476" i="1"/>
  <c r="N475" i="1"/>
  <c r="M474" i="1"/>
  <c r="L473" i="1"/>
  <c r="K472" i="1"/>
  <c r="J471" i="1"/>
  <c r="I470" i="1"/>
  <c r="D470" i="1"/>
  <c r="O469" i="1"/>
  <c r="K469" i="1"/>
  <c r="G469" i="1"/>
  <c r="C469" i="1"/>
  <c r="N468" i="1"/>
  <c r="J468" i="1"/>
  <c r="F468" i="1"/>
  <c r="B468" i="1"/>
  <c r="M467" i="1"/>
  <c r="I467" i="1"/>
  <c r="E467" i="1"/>
  <c r="P466" i="1"/>
  <c r="L466" i="1"/>
  <c r="H466" i="1"/>
  <c r="D466" i="1"/>
  <c r="O465" i="1"/>
  <c r="K465" i="1"/>
  <c r="G465" i="1"/>
  <c r="C465" i="1"/>
  <c r="N464" i="1"/>
  <c r="J464" i="1"/>
  <c r="F464" i="1"/>
  <c r="B464" i="1"/>
  <c r="M463" i="1"/>
  <c r="I463" i="1"/>
  <c r="E463" i="1"/>
  <c r="P462" i="1"/>
  <c r="L462" i="1"/>
  <c r="H462" i="1"/>
  <c r="D462" i="1"/>
  <c r="O461" i="1"/>
  <c r="K461" i="1"/>
  <c r="G461" i="1"/>
  <c r="C461" i="1"/>
  <c r="N460" i="1"/>
  <c r="J460" i="1"/>
  <c r="F460" i="1"/>
  <c r="B460" i="1"/>
  <c r="M459" i="1"/>
  <c r="I459" i="1"/>
  <c r="E459" i="1"/>
  <c r="P458" i="1"/>
  <c r="L458" i="1"/>
  <c r="H458" i="1"/>
  <c r="D458" i="1"/>
  <c r="O457" i="1"/>
  <c r="K457" i="1"/>
  <c r="G457" i="1"/>
  <c r="C457" i="1"/>
  <c r="N456" i="1"/>
  <c r="J456" i="1"/>
  <c r="F456" i="1"/>
  <c r="B456" i="1"/>
  <c r="M455" i="1"/>
  <c r="I455" i="1"/>
  <c r="E455" i="1"/>
  <c r="P454" i="1"/>
  <c r="L454" i="1"/>
  <c r="H454" i="1"/>
  <c r="D454" i="1"/>
  <c r="O453" i="1"/>
  <c r="K453" i="1"/>
  <c r="G453" i="1"/>
  <c r="C453" i="1"/>
  <c r="N452" i="1"/>
  <c r="J452" i="1"/>
  <c r="F452" i="1"/>
  <c r="B452" i="1"/>
  <c r="M451" i="1"/>
  <c r="I451" i="1"/>
  <c r="E451" i="1"/>
  <c r="P450" i="1"/>
  <c r="L450" i="1"/>
  <c r="H450" i="1"/>
  <c r="D450" i="1"/>
  <c r="O449" i="1"/>
  <c r="K449" i="1"/>
  <c r="G449" i="1"/>
  <c r="C449" i="1"/>
  <c r="N448" i="1"/>
  <c r="J448" i="1"/>
  <c r="F448" i="1"/>
  <c r="B448" i="1"/>
  <c r="M447" i="1"/>
  <c r="I447" i="1"/>
  <c r="E447" i="1"/>
  <c r="P446" i="1"/>
  <c r="L446" i="1"/>
  <c r="H446" i="1"/>
  <c r="D446" i="1"/>
  <c r="O445" i="1"/>
  <c r="B503" i="1"/>
  <c r="P501" i="1"/>
  <c r="O500" i="1"/>
  <c r="N499" i="1"/>
  <c r="M498" i="1"/>
  <c r="L497" i="1"/>
  <c r="K496" i="1"/>
  <c r="J495" i="1"/>
  <c r="I494" i="1"/>
  <c r="H493" i="1"/>
  <c r="G492" i="1"/>
  <c r="F491" i="1"/>
  <c r="E490" i="1"/>
  <c r="D489" i="1"/>
  <c r="C488" i="1"/>
  <c r="B487" i="1"/>
  <c r="P485" i="1"/>
  <c r="O484" i="1"/>
  <c r="N483" i="1"/>
  <c r="M482" i="1"/>
  <c r="L481" i="1"/>
  <c r="K480" i="1"/>
  <c r="J479" i="1"/>
  <c r="I478" i="1"/>
  <c r="H477" i="1"/>
  <c r="G476" i="1"/>
  <c r="F475" i="1"/>
  <c r="E474" i="1"/>
  <c r="D473" i="1"/>
  <c r="C472" i="1"/>
  <c r="B471" i="1"/>
  <c r="G470" i="1"/>
  <c r="B470" i="1"/>
  <c r="M469" i="1"/>
  <c r="I469" i="1"/>
  <c r="E469" i="1"/>
  <c r="P468" i="1"/>
  <c r="L468" i="1"/>
  <c r="H468" i="1"/>
  <c r="D468" i="1"/>
  <c r="O467" i="1"/>
  <c r="K467" i="1"/>
  <c r="G467" i="1"/>
  <c r="C467" i="1"/>
  <c r="N466" i="1"/>
  <c r="J466" i="1"/>
  <c r="F466" i="1"/>
  <c r="B466" i="1"/>
  <c r="M465" i="1"/>
  <c r="I465" i="1"/>
  <c r="E465" i="1"/>
  <c r="P464" i="1"/>
  <c r="L464" i="1"/>
  <c r="H464" i="1"/>
  <c r="D464" i="1"/>
  <c r="O463" i="1"/>
  <c r="K463" i="1"/>
  <c r="G463" i="1"/>
  <c r="C463" i="1"/>
  <c r="N462" i="1"/>
  <c r="J462" i="1"/>
  <c r="F462" i="1"/>
  <c r="B462" i="1"/>
  <c r="M461" i="1"/>
  <c r="I461" i="1"/>
  <c r="E461" i="1"/>
  <c r="P460" i="1"/>
  <c r="L460" i="1"/>
  <c r="H460" i="1"/>
  <c r="D460" i="1"/>
  <c r="O459" i="1"/>
  <c r="K459" i="1"/>
  <c r="G459" i="1"/>
  <c r="C459" i="1"/>
  <c r="N458" i="1"/>
  <c r="J458" i="1"/>
  <c r="F458" i="1"/>
  <c r="B458" i="1"/>
  <c r="M457" i="1"/>
  <c r="I457" i="1"/>
  <c r="E457" i="1"/>
  <c r="P456" i="1"/>
  <c r="L456" i="1"/>
  <c r="H456" i="1"/>
  <c r="D456" i="1"/>
  <c r="O455" i="1"/>
  <c r="K455" i="1"/>
  <c r="G455" i="1"/>
  <c r="C455" i="1"/>
  <c r="N454" i="1"/>
  <c r="J454" i="1"/>
  <c r="F454" i="1"/>
  <c r="B454" i="1"/>
  <c r="M453" i="1"/>
  <c r="I453" i="1"/>
  <c r="E453" i="1"/>
  <c r="P452" i="1"/>
  <c r="L452" i="1"/>
  <c r="H452" i="1"/>
  <c r="D452" i="1"/>
  <c r="O451" i="1"/>
  <c r="K451" i="1"/>
  <c r="G451" i="1"/>
  <c r="C451" i="1"/>
  <c r="N450" i="1"/>
  <c r="J450" i="1"/>
  <c r="F450" i="1"/>
  <c r="B450" i="1"/>
  <c r="M449" i="1"/>
  <c r="I449" i="1"/>
  <c r="E449" i="1"/>
  <c r="P448" i="1"/>
  <c r="L448" i="1"/>
  <c r="H448" i="1"/>
  <c r="D448" i="1"/>
  <c r="O447" i="1"/>
  <c r="K447" i="1"/>
  <c r="G447" i="1"/>
  <c r="C447" i="1"/>
  <c r="N446" i="1"/>
  <c r="J446" i="1"/>
  <c r="F446" i="1"/>
  <c r="B446" i="1"/>
  <c r="M445" i="1"/>
  <c r="I445" i="1"/>
  <c r="E445" i="1"/>
  <c r="P444" i="1"/>
  <c r="F503" i="1"/>
  <c r="B499" i="1"/>
  <c r="M494" i="1"/>
  <c r="I490" i="1"/>
  <c r="E486" i="1"/>
  <c r="P481" i="1"/>
  <c r="L477" i="1"/>
  <c r="H473" i="1"/>
  <c r="C470" i="1"/>
  <c r="B469" i="1"/>
  <c r="P467" i="1"/>
  <c r="O466" i="1"/>
  <c r="N465" i="1"/>
  <c r="M464" i="1"/>
  <c r="L463" i="1"/>
  <c r="K462" i="1"/>
  <c r="J461" i="1"/>
  <c r="I460" i="1"/>
  <c r="H459" i="1"/>
  <c r="G458" i="1"/>
  <c r="F457" i="1"/>
  <c r="E456" i="1"/>
  <c r="D455" i="1"/>
  <c r="C454" i="1"/>
  <c r="B453" i="1"/>
  <c r="P451" i="1"/>
  <c r="O450" i="1"/>
  <c r="N449" i="1"/>
  <c r="M448" i="1"/>
  <c r="L447" i="1"/>
  <c r="K446" i="1"/>
  <c r="L445" i="1"/>
  <c r="G445" i="1"/>
  <c r="B445" i="1"/>
  <c r="L444" i="1"/>
  <c r="H444" i="1"/>
  <c r="D444" i="1"/>
  <c r="O443" i="1"/>
  <c r="K443" i="1"/>
  <c r="G443" i="1"/>
  <c r="C443" i="1"/>
  <c r="N442" i="1"/>
  <c r="J442" i="1"/>
  <c r="F442" i="1"/>
  <c r="B442" i="1"/>
  <c r="M441" i="1"/>
  <c r="I441" i="1"/>
  <c r="E441" i="1"/>
  <c r="P440" i="1"/>
  <c r="L440" i="1"/>
  <c r="H440" i="1"/>
  <c r="D440" i="1"/>
  <c r="O439" i="1"/>
  <c r="K439" i="1"/>
  <c r="G439" i="1"/>
  <c r="C439" i="1"/>
  <c r="N438" i="1"/>
  <c r="J438" i="1"/>
  <c r="F438" i="1"/>
  <c r="B438" i="1"/>
  <c r="M437" i="1"/>
  <c r="I437" i="1"/>
  <c r="E437" i="1"/>
  <c r="P436" i="1"/>
  <c r="L436" i="1"/>
  <c r="H436" i="1"/>
  <c r="D436" i="1"/>
  <c r="O435" i="1"/>
  <c r="K435" i="1"/>
  <c r="G435" i="1"/>
  <c r="C435" i="1"/>
  <c r="N434" i="1"/>
  <c r="J434" i="1"/>
  <c r="F434" i="1"/>
  <c r="B434" i="1"/>
  <c r="M433" i="1"/>
  <c r="I433" i="1"/>
  <c r="E433" i="1"/>
  <c r="P432" i="1"/>
  <c r="L432" i="1"/>
  <c r="H432" i="1"/>
  <c r="D432" i="1"/>
  <c r="O431" i="1"/>
  <c r="K431" i="1"/>
  <c r="G431" i="1"/>
  <c r="C431" i="1"/>
  <c r="N430" i="1"/>
  <c r="J430" i="1"/>
  <c r="F430" i="1"/>
  <c r="B430" i="1"/>
  <c r="M429" i="1"/>
  <c r="I429" i="1"/>
  <c r="E429" i="1"/>
  <c r="P428" i="1"/>
  <c r="L428" i="1"/>
  <c r="H428" i="1"/>
  <c r="D428" i="1"/>
  <c r="O427" i="1"/>
  <c r="K427" i="1"/>
  <c r="G427" i="1"/>
  <c r="C427" i="1"/>
  <c r="N426" i="1"/>
  <c r="J426" i="1"/>
  <c r="F426" i="1"/>
  <c r="B426" i="1"/>
  <c r="M425" i="1"/>
  <c r="I425" i="1"/>
  <c r="E425" i="1"/>
  <c r="P424" i="1"/>
  <c r="L424" i="1"/>
  <c r="H424" i="1"/>
  <c r="D424" i="1"/>
  <c r="O423" i="1"/>
  <c r="K423" i="1"/>
  <c r="G423" i="1"/>
  <c r="C423" i="1"/>
  <c r="N422" i="1"/>
  <c r="J422" i="1"/>
  <c r="F422" i="1"/>
  <c r="B422" i="1"/>
  <c r="M421" i="1"/>
  <c r="I421" i="1"/>
  <c r="E421" i="1"/>
  <c r="P420" i="1"/>
  <c r="L420" i="1"/>
  <c r="H420" i="1"/>
  <c r="D420" i="1"/>
  <c r="E502" i="1"/>
  <c r="P497" i="1"/>
  <c r="L493" i="1"/>
  <c r="H489" i="1"/>
  <c r="D485" i="1"/>
  <c r="O480" i="1"/>
  <c r="K476" i="1"/>
  <c r="G472" i="1"/>
  <c r="N469" i="1"/>
  <c r="M468" i="1"/>
  <c r="L467" i="1"/>
  <c r="K466" i="1"/>
  <c r="J465" i="1"/>
  <c r="I464" i="1"/>
  <c r="H463" i="1"/>
  <c r="G462" i="1"/>
  <c r="F461" i="1"/>
  <c r="E460" i="1"/>
  <c r="D459" i="1"/>
  <c r="C458" i="1"/>
  <c r="B457" i="1"/>
  <c r="P455" i="1"/>
  <c r="O454" i="1"/>
  <c r="N453" i="1"/>
  <c r="M452" i="1"/>
  <c r="L451" i="1"/>
  <c r="K450" i="1"/>
  <c r="J449" i="1"/>
  <c r="I448" i="1"/>
  <c r="H447" i="1"/>
  <c r="G446" i="1"/>
  <c r="K445" i="1"/>
  <c r="F445" i="1"/>
  <c r="O444" i="1"/>
  <c r="K444" i="1"/>
  <c r="G444" i="1"/>
  <c r="C444" i="1"/>
  <c r="N443" i="1"/>
  <c r="J443" i="1"/>
  <c r="F443" i="1"/>
  <c r="B443" i="1"/>
  <c r="M442" i="1"/>
  <c r="I442" i="1"/>
  <c r="E442" i="1"/>
  <c r="P441" i="1"/>
  <c r="L441" i="1"/>
  <c r="H441" i="1"/>
  <c r="D441" i="1"/>
  <c r="O440" i="1"/>
  <c r="K440" i="1"/>
  <c r="G440" i="1"/>
  <c r="C440" i="1"/>
  <c r="N439" i="1"/>
  <c r="J439" i="1"/>
  <c r="F439" i="1"/>
  <c r="B439" i="1"/>
  <c r="M438" i="1"/>
  <c r="I438" i="1"/>
  <c r="E438" i="1"/>
  <c r="P437" i="1"/>
  <c r="L437" i="1"/>
  <c r="H437" i="1"/>
  <c r="D437" i="1"/>
  <c r="O436" i="1"/>
  <c r="K436" i="1"/>
  <c r="G436" i="1"/>
  <c r="C436" i="1"/>
  <c r="N435" i="1"/>
  <c r="J435" i="1"/>
  <c r="F435" i="1"/>
  <c r="B435" i="1"/>
  <c r="M434" i="1"/>
  <c r="I434" i="1"/>
  <c r="E434" i="1"/>
  <c r="P433" i="1"/>
  <c r="L433" i="1"/>
  <c r="H433" i="1"/>
  <c r="D433" i="1"/>
  <c r="O432" i="1"/>
  <c r="K432" i="1"/>
  <c r="G432" i="1"/>
  <c r="C432" i="1"/>
  <c r="N431" i="1"/>
  <c r="J431" i="1"/>
  <c r="F431" i="1"/>
  <c r="B431" i="1"/>
  <c r="M430" i="1"/>
  <c r="I430" i="1"/>
  <c r="E430" i="1"/>
  <c r="P429" i="1"/>
  <c r="L429" i="1"/>
  <c r="H429" i="1"/>
  <c r="D429" i="1"/>
  <c r="O428" i="1"/>
  <c r="K428" i="1"/>
  <c r="G428" i="1"/>
  <c r="C428" i="1"/>
  <c r="N427" i="1"/>
  <c r="J427" i="1"/>
  <c r="F427" i="1"/>
  <c r="B427" i="1"/>
  <c r="M426" i="1"/>
  <c r="I426" i="1"/>
  <c r="E426" i="1"/>
  <c r="P425" i="1"/>
  <c r="L425" i="1"/>
  <c r="H425" i="1"/>
  <c r="D425" i="1"/>
  <c r="O424" i="1"/>
  <c r="K424" i="1"/>
  <c r="G424" i="1"/>
  <c r="C424" i="1"/>
  <c r="N423" i="1"/>
  <c r="J423" i="1"/>
  <c r="F423" i="1"/>
  <c r="B423" i="1"/>
  <c r="M422" i="1"/>
  <c r="I422" i="1"/>
  <c r="E422" i="1"/>
  <c r="P421" i="1"/>
  <c r="L421" i="1"/>
  <c r="H421" i="1"/>
  <c r="D421" i="1"/>
  <c r="O420" i="1"/>
  <c r="K420" i="1"/>
  <c r="G420" i="1"/>
  <c r="C420" i="1"/>
  <c r="N419" i="1"/>
  <c r="J419" i="1"/>
  <c r="C500" i="1"/>
  <c r="N495" i="1"/>
  <c r="J491" i="1"/>
  <c r="F487" i="1"/>
  <c r="B483" i="1"/>
  <c r="M478" i="1"/>
  <c r="I474" i="1"/>
  <c r="H470" i="1"/>
  <c r="F469" i="1"/>
  <c r="E468" i="1"/>
  <c r="D467" i="1"/>
  <c r="C466" i="1"/>
  <c r="B465" i="1"/>
  <c r="P463" i="1"/>
  <c r="O462" i="1"/>
  <c r="N461" i="1"/>
  <c r="M460" i="1"/>
  <c r="L459" i="1"/>
  <c r="K458" i="1"/>
  <c r="J457" i="1"/>
  <c r="I456" i="1"/>
  <c r="H455" i="1"/>
  <c r="G454" i="1"/>
  <c r="F453" i="1"/>
  <c r="E452" i="1"/>
  <c r="D451" i="1"/>
  <c r="C450" i="1"/>
  <c r="B449" i="1"/>
  <c r="P447" i="1"/>
  <c r="O446" i="1"/>
  <c r="N445" i="1"/>
  <c r="H445" i="1"/>
  <c r="C445" i="1"/>
  <c r="M444" i="1"/>
  <c r="I444" i="1"/>
  <c r="E444" i="1"/>
  <c r="P443" i="1"/>
  <c r="L443" i="1"/>
  <c r="H443" i="1"/>
  <c r="D443" i="1"/>
  <c r="O442" i="1"/>
  <c r="K442" i="1"/>
  <c r="G442" i="1"/>
  <c r="C442" i="1"/>
  <c r="N441" i="1"/>
  <c r="J441" i="1"/>
  <c r="F441" i="1"/>
  <c r="B441" i="1"/>
  <c r="M440" i="1"/>
  <c r="I440" i="1"/>
  <c r="E440" i="1"/>
  <c r="P439" i="1"/>
  <c r="L439" i="1"/>
  <c r="H439" i="1"/>
  <c r="D439" i="1"/>
  <c r="O438" i="1"/>
  <c r="K438" i="1"/>
  <c r="G438" i="1"/>
  <c r="C438" i="1"/>
  <c r="N437" i="1"/>
  <c r="J437" i="1"/>
  <c r="F437" i="1"/>
  <c r="B437" i="1"/>
  <c r="M436" i="1"/>
  <c r="I436" i="1"/>
  <c r="E436" i="1"/>
  <c r="P435" i="1"/>
  <c r="L435" i="1"/>
  <c r="H435" i="1"/>
  <c r="D435" i="1"/>
  <c r="O434" i="1"/>
  <c r="K434" i="1"/>
  <c r="G434" i="1"/>
  <c r="C434" i="1"/>
  <c r="N433" i="1"/>
  <c r="J433" i="1"/>
  <c r="F433" i="1"/>
  <c r="B433" i="1"/>
  <c r="M432" i="1"/>
  <c r="I432" i="1"/>
  <c r="E432" i="1"/>
  <c r="P431" i="1"/>
  <c r="L431" i="1"/>
  <c r="H431" i="1"/>
  <c r="D431" i="1"/>
  <c r="O430" i="1"/>
  <c r="K430" i="1"/>
  <c r="G430" i="1"/>
  <c r="C430" i="1"/>
  <c r="N429" i="1"/>
  <c r="J429" i="1"/>
  <c r="F429" i="1"/>
  <c r="B429" i="1"/>
  <c r="M428" i="1"/>
  <c r="I428" i="1"/>
  <c r="E428" i="1"/>
  <c r="P427" i="1"/>
  <c r="L427" i="1"/>
  <c r="H427" i="1"/>
  <c r="D427" i="1"/>
  <c r="O426" i="1"/>
  <c r="K426" i="1"/>
  <c r="G426" i="1"/>
  <c r="C426" i="1"/>
  <c r="N425" i="1"/>
  <c r="J425" i="1"/>
  <c r="F425" i="1"/>
  <c r="B425" i="1"/>
  <c r="M424" i="1"/>
  <c r="I424" i="1"/>
  <c r="E424" i="1"/>
  <c r="P423" i="1"/>
  <c r="L423" i="1"/>
  <c r="H423" i="1"/>
  <c r="D423" i="1"/>
  <c r="O422" i="1"/>
  <c r="K422" i="1"/>
  <c r="G422" i="1"/>
  <c r="C422" i="1"/>
  <c r="N421" i="1"/>
  <c r="J421" i="1"/>
  <c r="F421" i="1"/>
  <c r="B421" i="1"/>
  <c r="M420" i="1"/>
  <c r="I420" i="1"/>
  <c r="E420" i="1"/>
  <c r="P419" i="1"/>
  <c r="D501" i="1"/>
  <c r="C484" i="1"/>
  <c r="J469" i="1"/>
  <c r="F465" i="1"/>
  <c r="B461" i="1"/>
  <c r="M456" i="1"/>
  <c r="I452" i="1"/>
  <c r="E448" i="1"/>
  <c r="D445" i="1"/>
  <c r="B444" i="1"/>
  <c r="P442" i="1"/>
  <c r="O441" i="1"/>
  <c r="N440" i="1"/>
  <c r="M439" i="1"/>
  <c r="L438" i="1"/>
  <c r="K437" i="1"/>
  <c r="J436" i="1"/>
  <c r="I435" i="1"/>
  <c r="H434" i="1"/>
  <c r="G433" i="1"/>
  <c r="F432" i="1"/>
  <c r="E431" i="1"/>
  <c r="D430" i="1"/>
  <c r="C429" i="1"/>
  <c r="B428" i="1"/>
  <c r="P426" i="1"/>
  <c r="O425" i="1"/>
  <c r="N424" i="1"/>
  <c r="M423" i="1"/>
  <c r="L422" i="1"/>
  <c r="K421" i="1"/>
  <c r="J420" i="1"/>
  <c r="M419" i="1"/>
  <c r="H419" i="1"/>
  <c r="D419" i="1"/>
  <c r="O418" i="1"/>
  <c r="K418" i="1"/>
  <c r="G418" i="1"/>
  <c r="C418" i="1"/>
  <c r="N417" i="1"/>
  <c r="J417" i="1"/>
  <c r="F417" i="1"/>
  <c r="B417" i="1"/>
  <c r="M416" i="1"/>
  <c r="I416" i="1"/>
  <c r="E416" i="1"/>
  <c r="P415" i="1"/>
  <c r="L415" i="1"/>
  <c r="H415" i="1"/>
  <c r="D415" i="1"/>
  <c r="O414" i="1"/>
  <c r="K414" i="1"/>
  <c r="G414" i="1"/>
  <c r="C414" i="1"/>
  <c r="N413" i="1"/>
  <c r="J413" i="1"/>
  <c r="F413" i="1"/>
  <c r="B413" i="1"/>
  <c r="M412" i="1"/>
  <c r="I412" i="1"/>
  <c r="E412" i="1"/>
  <c r="P411" i="1"/>
  <c r="L411" i="1"/>
  <c r="H411" i="1"/>
  <c r="D411" i="1"/>
  <c r="O410" i="1"/>
  <c r="K410" i="1"/>
  <c r="G410" i="1"/>
  <c r="C410" i="1"/>
  <c r="N409" i="1"/>
  <c r="J409" i="1"/>
  <c r="F409" i="1"/>
  <c r="B409" i="1"/>
  <c r="M408" i="1"/>
  <c r="I408" i="1"/>
  <c r="E408" i="1"/>
  <c r="P407" i="1"/>
  <c r="L407" i="1"/>
  <c r="H407" i="1"/>
  <c r="D407" i="1"/>
  <c r="O406" i="1"/>
  <c r="K406" i="1"/>
  <c r="G406" i="1"/>
  <c r="C406" i="1"/>
  <c r="N405" i="1"/>
  <c r="J405" i="1"/>
  <c r="F405" i="1"/>
  <c r="B405" i="1"/>
  <c r="M404" i="1"/>
  <c r="I404" i="1"/>
  <c r="E404" i="1"/>
  <c r="P403" i="1"/>
  <c r="L403" i="1"/>
  <c r="H403" i="1"/>
  <c r="D403" i="1"/>
  <c r="O402" i="1"/>
  <c r="K402" i="1"/>
  <c r="G402" i="1"/>
  <c r="C402" i="1"/>
  <c r="N401" i="1"/>
  <c r="J401" i="1"/>
  <c r="F401" i="1"/>
  <c r="B401" i="1"/>
  <c r="M400" i="1"/>
  <c r="I400" i="1"/>
  <c r="E400" i="1"/>
  <c r="P399" i="1"/>
  <c r="L399" i="1"/>
  <c r="H399" i="1"/>
  <c r="D399" i="1"/>
  <c r="O398" i="1"/>
  <c r="K398" i="1"/>
  <c r="G398" i="1"/>
  <c r="C398" i="1"/>
  <c r="N397" i="1"/>
  <c r="J397" i="1"/>
  <c r="F397" i="1"/>
  <c r="B397" i="1"/>
  <c r="M396" i="1"/>
  <c r="I396" i="1"/>
  <c r="E396" i="1"/>
  <c r="P395" i="1"/>
  <c r="L395" i="1"/>
  <c r="H395" i="1"/>
  <c r="D395" i="1"/>
  <c r="O394" i="1"/>
  <c r="K394" i="1"/>
  <c r="G394" i="1"/>
  <c r="C394" i="1"/>
  <c r="N393" i="1"/>
  <c r="J393" i="1"/>
  <c r="F393" i="1"/>
  <c r="B393" i="1"/>
  <c r="M392" i="1"/>
  <c r="I392" i="1"/>
  <c r="E392" i="1"/>
  <c r="P391" i="1"/>
  <c r="L391" i="1"/>
  <c r="H391" i="1"/>
  <c r="D391" i="1"/>
  <c r="O390" i="1"/>
  <c r="K390" i="1"/>
  <c r="G390" i="1"/>
  <c r="C390" i="1"/>
  <c r="N389" i="1"/>
  <c r="J389" i="1"/>
  <c r="F389" i="1"/>
  <c r="B389" i="1"/>
  <c r="M388" i="1"/>
  <c r="I388" i="1"/>
  <c r="E388" i="1"/>
  <c r="P387" i="1"/>
  <c r="L387" i="1"/>
  <c r="H387" i="1"/>
  <c r="D387" i="1"/>
  <c r="O386" i="1"/>
  <c r="K386" i="1"/>
  <c r="G386" i="1"/>
  <c r="C386" i="1"/>
  <c r="N385" i="1"/>
  <c r="J385" i="1"/>
  <c r="F385" i="1"/>
  <c r="B385" i="1"/>
  <c r="M384" i="1"/>
  <c r="I384" i="1"/>
  <c r="E384" i="1"/>
  <c r="P383" i="1"/>
  <c r="L383" i="1"/>
  <c r="H383" i="1"/>
  <c r="D383" i="1"/>
  <c r="O382" i="1"/>
  <c r="K382" i="1"/>
  <c r="G382" i="1"/>
  <c r="C382" i="1"/>
  <c r="N381" i="1"/>
  <c r="J381" i="1"/>
  <c r="F381" i="1"/>
  <c r="B381" i="1"/>
  <c r="M380" i="1"/>
  <c r="I380" i="1"/>
  <c r="E380" i="1"/>
  <c r="P379" i="1"/>
  <c r="L379" i="1"/>
  <c r="H379" i="1"/>
  <c r="D379" i="1"/>
  <c r="O378" i="1"/>
  <c r="K378" i="1"/>
  <c r="G378" i="1"/>
  <c r="C378" i="1"/>
  <c r="N377" i="1"/>
  <c r="J377" i="1"/>
  <c r="F377" i="1"/>
  <c r="B377" i="1"/>
  <c r="M376" i="1"/>
  <c r="I376" i="1"/>
  <c r="E376" i="1"/>
  <c r="P375" i="1"/>
  <c r="L375" i="1"/>
  <c r="H375" i="1"/>
  <c r="D375" i="1"/>
  <c r="O374" i="1"/>
  <c r="K374" i="1"/>
  <c r="G374" i="1"/>
  <c r="C374" i="1"/>
  <c r="N373" i="1"/>
  <c r="J373" i="1"/>
  <c r="F373" i="1"/>
  <c r="B373" i="1"/>
  <c r="M372" i="1"/>
  <c r="I372" i="1"/>
  <c r="E372" i="1"/>
  <c r="P371" i="1"/>
  <c r="L371" i="1"/>
  <c r="H371" i="1"/>
  <c r="D371" i="1"/>
  <c r="O370" i="1"/>
  <c r="K370" i="1"/>
  <c r="G370" i="1"/>
  <c r="C370" i="1"/>
  <c r="N369" i="1"/>
  <c r="J369" i="1"/>
  <c r="F369" i="1"/>
  <c r="B369" i="1"/>
  <c r="M368" i="1"/>
  <c r="I368" i="1"/>
  <c r="E368" i="1"/>
  <c r="P367" i="1"/>
  <c r="L367" i="1"/>
  <c r="H367" i="1"/>
  <c r="D367" i="1"/>
  <c r="O366" i="1"/>
  <c r="K366" i="1"/>
  <c r="G366" i="1"/>
  <c r="C366" i="1"/>
  <c r="N365" i="1"/>
  <c r="J365" i="1"/>
  <c r="F365" i="1"/>
  <c r="B365" i="1"/>
  <c r="M364" i="1"/>
  <c r="I364" i="1"/>
  <c r="E364" i="1"/>
  <c r="P363" i="1"/>
  <c r="L363" i="1"/>
  <c r="H363" i="1"/>
  <c r="D363" i="1"/>
  <c r="O362" i="1"/>
  <c r="K362" i="1"/>
  <c r="G362" i="1"/>
  <c r="C362" i="1"/>
  <c r="N361" i="1"/>
  <c r="O496" i="1"/>
  <c r="N479" i="1"/>
  <c r="I468" i="1"/>
  <c r="E464" i="1"/>
  <c r="P459" i="1"/>
  <c r="L455" i="1"/>
  <c r="H451" i="1"/>
  <c r="D447" i="1"/>
  <c r="N444" i="1"/>
  <c r="M443" i="1"/>
  <c r="L442" i="1"/>
  <c r="K441" i="1"/>
  <c r="J440" i="1"/>
  <c r="I439" i="1"/>
  <c r="H438" i="1"/>
  <c r="G437" i="1"/>
  <c r="F436" i="1"/>
  <c r="E435" i="1"/>
  <c r="D434" i="1"/>
  <c r="C433" i="1"/>
  <c r="B432" i="1"/>
  <c r="P430" i="1"/>
  <c r="O429" i="1"/>
  <c r="N428" i="1"/>
  <c r="M427" i="1"/>
  <c r="L426" i="1"/>
  <c r="K425" i="1"/>
  <c r="J424" i="1"/>
  <c r="I423" i="1"/>
  <c r="H422" i="1"/>
  <c r="G421" i="1"/>
  <c r="F420" i="1"/>
  <c r="L419" i="1"/>
  <c r="G419" i="1"/>
  <c r="C419" i="1"/>
  <c r="N418" i="1"/>
  <c r="J418" i="1"/>
  <c r="F418" i="1"/>
  <c r="B418" i="1"/>
  <c r="M417" i="1"/>
  <c r="I417" i="1"/>
  <c r="E417" i="1"/>
  <c r="P416" i="1"/>
  <c r="L416" i="1"/>
  <c r="H416" i="1"/>
  <c r="D416" i="1"/>
  <c r="O415" i="1"/>
  <c r="K415" i="1"/>
  <c r="G415" i="1"/>
  <c r="C415" i="1"/>
  <c r="N414" i="1"/>
  <c r="J414" i="1"/>
  <c r="F414" i="1"/>
  <c r="B414" i="1"/>
  <c r="M413" i="1"/>
  <c r="I413" i="1"/>
  <c r="E413" i="1"/>
  <c r="P412" i="1"/>
  <c r="L412" i="1"/>
  <c r="H412" i="1"/>
  <c r="D412" i="1"/>
  <c r="O411" i="1"/>
  <c r="K411" i="1"/>
  <c r="G411" i="1"/>
  <c r="C411" i="1"/>
  <c r="N410" i="1"/>
  <c r="J410" i="1"/>
  <c r="F410" i="1"/>
  <c r="B410" i="1"/>
  <c r="M409" i="1"/>
  <c r="I409" i="1"/>
  <c r="E409" i="1"/>
  <c r="P408" i="1"/>
  <c r="L408" i="1"/>
  <c r="H408" i="1"/>
  <c r="D408" i="1"/>
  <c r="O407" i="1"/>
  <c r="K407" i="1"/>
  <c r="G407" i="1"/>
  <c r="C407" i="1"/>
  <c r="N406" i="1"/>
  <c r="J406" i="1"/>
  <c r="F406" i="1"/>
  <c r="B406" i="1"/>
  <c r="M405" i="1"/>
  <c r="I405" i="1"/>
  <c r="E405" i="1"/>
  <c r="P404" i="1"/>
  <c r="L404" i="1"/>
  <c r="H404" i="1"/>
  <c r="D404" i="1"/>
  <c r="O403" i="1"/>
  <c r="K403" i="1"/>
  <c r="G403" i="1"/>
  <c r="C403" i="1"/>
  <c r="N402" i="1"/>
  <c r="J402" i="1"/>
  <c r="F402" i="1"/>
  <c r="B402" i="1"/>
  <c r="M401" i="1"/>
  <c r="I401" i="1"/>
  <c r="E401" i="1"/>
  <c r="P400" i="1"/>
  <c r="L400" i="1"/>
  <c r="H400" i="1"/>
  <c r="D400" i="1"/>
  <c r="O399" i="1"/>
  <c r="K399" i="1"/>
  <c r="G399" i="1"/>
  <c r="C399" i="1"/>
  <c r="N398" i="1"/>
  <c r="J398" i="1"/>
  <c r="F398" i="1"/>
  <c r="B398" i="1"/>
  <c r="M397" i="1"/>
  <c r="I397" i="1"/>
  <c r="E397" i="1"/>
  <c r="P396" i="1"/>
  <c r="L396" i="1"/>
  <c r="H396" i="1"/>
  <c r="D396" i="1"/>
  <c r="O395" i="1"/>
  <c r="K395" i="1"/>
  <c r="G395" i="1"/>
  <c r="C395" i="1"/>
  <c r="N394" i="1"/>
  <c r="J394" i="1"/>
  <c r="F394" i="1"/>
  <c r="B394" i="1"/>
  <c r="M393" i="1"/>
  <c r="I393" i="1"/>
  <c r="E393" i="1"/>
  <c r="P392" i="1"/>
  <c r="L392" i="1"/>
  <c r="H392" i="1"/>
  <c r="D392" i="1"/>
  <c r="O391" i="1"/>
  <c r="K391" i="1"/>
  <c r="G391" i="1"/>
  <c r="C391" i="1"/>
  <c r="N390" i="1"/>
  <c r="J390" i="1"/>
  <c r="F390" i="1"/>
  <c r="B390" i="1"/>
  <c r="M389" i="1"/>
  <c r="I389" i="1"/>
  <c r="E389" i="1"/>
  <c r="P388" i="1"/>
  <c r="L388" i="1"/>
  <c r="H388" i="1"/>
  <c r="D388" i="1"/>
  <c r="O387" i="1"/>
  <c r="K387" i="1"/>
  <c r="G387" i="1"/>
  <c r="C387" i="1"/>
  <c r="N386" i="1"/>
  <c r="J386" i="1"/>
  <c r="F386" i="1"/>
  <c r="B386" i="1"/>
  <c r="M385" i="1"/>
  <c r="I385" i="1"/>
  <c r="E385" i="1"/>
  <c r="P384" i="1"/>
  <c r="L384" i="1"/>
  <c r="H384" i="1"/>
  <c r="D384" i="1"/>
  <c r="O383" i="1"/>
  <c r="K383" i="1"/>
  <c r="G383" i="1"/>
  <c r="C383" i="1"/>
  <c r="N382" i="1"/>
  <c r="J382" i="1"/>
  <c r="F382" i="1"/>
  <c r="B382" i="1"/>
  <c r="M381" i="1"/>
  <c r="I381" i="1"/>
  <c r="E381" i="1"/>
  <c r="P380" i="1"/>
  <c r="L380" i="1"/>
  <c r="H380" i="1"/>
  <c r="D380" i="1"/>
  <c r="O379" i="1"/>
  <c r="K379" i="1"/>
  <c r="G379" i="1"/>
  <c r="C379" i="1"/>
  <c r="N378" i="1"/>
  <c r="J378" i="1"/>
  <c r="F378" i="1"/>
  <c r="B378" i="1"/>
  <c r="M377" i="1"/>
  <c r="I377" i="1"/>
  <c r="E377" i="1"/>
  <c r="P376" i="1"/>
  <c r="L376" i="1"/>
  <c r="H376" i="1"/>
  <c r="D376" i="1"/>
  <c r="O375" i="1"/>
  <c r="K375" i="1"/>
  <c r="G375" i="1"/>
  <c r="C375" i="1"/>
  <c r="N374" i="1"/>
  <c r="J374" i="1"/>
  <c r="F374" i="1"/>
  <c r="B374" i="1"/>
  <c r="M373" i="1"/>
  <c r="I373" i="1"/>
  <c r="E373" i="1"/>
  <c r="P372" i="1"/>
  <c r="L372" i="1"/>
  <c r="H372" i="1"/>
  <c r="D372" i="1"/>
  <c r="O371" i="1"/>
  <c r="K371" i="1"/>
  <c r="G371" i="1"/>
  <c r="C371" i="1"/>
  <c r="N370" i="1"/>
  <c r="J370" i="1"/>
  <c r="F370" i="1"/>
  <c r="B370" i="1"/>
  <c r="M369" i="1"/>
  <c r="I369" i="1"/>
  <c r="E369" i="1"/>
  <c r="P368" i="1"/>
  <c r="L368" i="1"/>
  <c r="H368" i="1"/>
  <c r="D368" i="1"/>
  <c r="O367" i="1"/>
  <c r="K367" i="1"/>
  <c r="G367" i="1"/>
  <c r="C367" i="1"/>
  <c r="N366" i="1"/>
  <c r="J366" i="1"/>
  <c r="F366" i="1"/>
  <c r="B366" i="1"/>
  <c r="M365" i="1"/>
  <c r="I365" i="1"/>
  <c r="E365" i="1"/>
  <c r="P364" i="1"/>
  <c r="L364" i="1"/>
  <c r="H364" i="1"/>
  <c r="D364" i="1"/>
  <c r="O363" i="1"/>
  <c r="K363" i="1"/>
  <c r="G363" i="1"/>
  <c r="C363" i="1"/>
  <c r="N362" i="1"/>
  <c r="J362" i="1"/>
  <c r="F362" i="1"/>
  <c r="B362" i="1"/>
  <c r="G488" i="1"/>
  <c r="F471" i="1"/>
  <c r="G466" i="1"/>
  <c r="C462" i="1"/>
  <c r="N457" i="1"/>
  <c r="J453" i="1"/>
  <c r="F449" i="1"/>
  <c r="J445" i="1"/>
  <c r="F444" i="1"/>
  <c r="E443" i="1"/>
  <c r="D442" i="1"/>
  <c r="C441" i="1"/>
  <c r="B440" i="1"/>
  <c r="P438" i="1"/>
  <c r="O437" i="1"/>
  <c r="N436" i="1"/>
  <c r="M435" i="1"/>
  <c r="L434" i="1"/>
  <c r="K433" i="1"/>
  <c r="J432" i="1"/>
  <c r="I431" i="1"/>
  <c r="H430" i="1"/>
  <c r="G429" i="1"/>
  <c r="F428" i="1"/>
  <c r="E427" i="1"/>
  <c r="D426" i="1"/>
  <c r="C425" i="1"/>
  <c r="B424" i="1"/>
  <c r="P422" i="1"/>
  <c r="O421" i="1"/>
  <c r="N420" i="1"/>
  <c r="O419" i="1"/>
  <c r="I419" i="1"/>
  <c r="E419" i="1"/>
  <c r="P418" i="1"/>
  <c r="L418" i="1"/>
  <c r="H418" i="1"/>
  <c r="D418" i="1"/>
  <c r="O417" i="1"/>
  <c r="K417" i="1"/>
  <c r="G417" i="1"/>
  <c r="C417" i="1"/>
  <c r="N416" i="1"/>
  <c r="J416" i="1"/>
  <c r="F416" i="1"/>
  <c r="B416" i="1"/>
  <c r="M415" i="1"/>
  <c r="I415" i="1"/>
  <c r="E415" i="1"/>
  <c r="P414" i="1"/>
  <c r="L414" i="1"/>
  <c r="H414" i="1"/>
  <c r="D414" i="1"/>
  <c r="O413" i="1"/>
  <c r="K413" i="1"/>
  <c r="G413" i="1"/>
  <c r="C413" i="1"/>
  <c r="N412" i="1"/>
  <c r="J412" i="1"/>
  <c r="F412" i="1"/>
  <c r="B412" i="1"/>
  <c r="M411" i="1"/>
  <c r="I411" i="1"/>
  <c r="E411" i="1"/>
  <c r="P410" i="1"/>
  <c r="L410" i="1"/>
  <c r="H410" i="1"/>
  <c r="D410" i="1"/>
  <c r="O409" i="1"/>
  <c r="K409" i="1"/>
  <c r="G409" i="1"/>
  <c r="C409" i="1"/>
  <c r="N408" i="1"/>
  <c r="J408" i="1"/>
  <c r="F408" i="1"/>
  <c r="B408" i="1"/>
  <c r="M407" i="1"/>
  <c r="I407" i="1"/>
  <c r="E407" i="1"/>
  <c r="P406" i="1"/>
  <c r="L406" i="1"/>
  <c r="H406" i="1"/>
  <c r="D406" i="1"/>
  <c r="O405" i="1"/>
  <c r="K405" i="1"/>
  <c r="G405" i="1"/>
  <c r="C405" i="1"/>
  <c r="N404" i="1"/>
  <c r="J404" i="1"/>
  <c r="F404" i="1"/>
  <c r="B404" i="1"/>
  <c r="M403" i="1"/>
  <c r="I403" i="1"/>
  <c r="E403" i="1"/>
  <c r="P402" i="1"/>
  <c r="L402" i="1"/>
  <c r="H402" i="1"/>
  <c r="D402" i="1"/>
  <c r="O401" i="1"/>
  <c r="K401" i="1"/>
  <c r="G401" i="1"/>
  <c r="C401" i="1"/>
  <c r="N400" i="1"/>
  <c r="J400" i="1"/>
  <c r="F400" i="1"/>
  <c r="B400" i="1"/>
  <c r="M399" i="1"/>
  <c r="I399" i="1"/>
  <c r="E399" i="1"/>
  <c r="P398" i="1"/>
  <c r="L398" i="1"/>
  <c r="H398" i="1"/>
  <c r="D398" i="1"/>
  <c r="O397" i="1"/>
  <c r="K397" i="1"/>
  <c r="G397" i="1"/>
  <c r="C397" i="1"/>
  <c r="N396" i="1"/>
  <c r="J396" i="1"/>
  <c r="F396" i="1"/>
  <c r="B396" i="1"/>
  <c r="M395" i="1"/>
  <c r="I395" i="1"/>
  <c r="E395" i="1"/>
  <c r="P394" i="1"/>
  <c r="L394" i="1"/>
  <c r="H394" i="1"/>
  <c r="D394" i="1"/>
  <c r="O393" i="1"/>
  <c r="K393" i="1"/>
  <c r="G393" i="1"/>
  <c r="C393" i="1"/>
  <c r="N392" i="1"/>
  <c r="J392" i="1"/>
  <c r="F392" i="1"/>
  <c r="B392" i="1"/>
  <c r="M391" i="1"/>
  <c r="I391" i="1"/>
  <c r="E391" i="1"/>
  <c r="P390" i="1"/>
  <c r="L390" i="1"/>
  <c r="H390" i="1"/>
  <c r="D390" i="1"/>
  <c r="O389" i="1"/>
  <c r="K389" i="1"/>
  <c r="G389" i="1"/>
  <c r="C389" i="1"/>
  <c r="N388" i="1"/>
  <c r="J388" i="1"/>
  <c r="F388" i="1"/>
  <c r="B388" i="1"/>
  <c r="M387" i="1"/>
  <c r="I387" i="1"/>
  <c r="E387" i="1"/>
  <c r="P386" i="1"/>
  <c r="L386" i="1"/>
  <c r="H386" i="1"/>
  <c r="D386" i="1"/>
  <c r="O385" i="1"/>
  <c r="K385" i="1"/>
  <c r="G385" i="1"/>
  <c r="C385" i="1"/>
  <c r="N384" i="1"/>
  <c r="J384" i="1"/>
  <c r="F384" i="1"/>
  <c r="B384" i="1"/>
  <c r="M383" i="1"/>
  <c r="I383" i="1"/>
  <c r="E383" i="1"/>
  <c r="P382" i="1"/>
  <c r="L382" i="1"/>
  <c r="H382" i="1"/>
  <c r="D382" i="1"/>
  <c r="O381" i="1"/>
  <c r="K381" i="1"/>
  <c r="G381" i="1"/>
  <c r="C381" i="1"/>
  <c r="N380" i="1"/>
  <c r="J380" i="1"/>
  <c r="F380" i="1"/>
  <c r="B380" i="1"/>
  <c r="M379" i="1"/>
  <c r="I379" i="1"/>
  <c r="E379" i="1"/>
  <c r="P378" i="1"/>
  <c r="L378" i="1"/>
  <c r="H378" i="1"/>
  <c r="D378" i="1"/>
  <c r="O377" i="1"/>
  <c r="K377" i="1"/>
  <c r="G377" i="1"/>
  <c r="C377" i="1"/>
  <c r="N376" i="1"/>
  <c r="J376" i="1"/>
  <c r="F376" i="1"/>
  <c r="B376" i="1"/>
  <c r="M375" i="1"/>
  <c r="I375" i="1"/>
  <c r="E375" i="1"/>
  <c r="P374" i="1"/>
  <c r="L374" i="1"/>
  <c r="H374" i="1"/>
  <c r="D374" i="1"/>
  <c r="O373" i="1"/>
  <c r="K373" i="1"/>
  <c r="G373" i="1"/>
  <c r="C373" i="1"/>
  <c r="N372" i="1"/>
  <c r="J372" i="1"/>
  <c r="F372" i="1"/>
  <c r="B372" i="1"/>
  <c r="M371" i="1"/>
  <c r="I371" i="1"/>
  <c r="E371" i="1"/>
  <c r="P370" i="1"/>
  <c r="L370" i="1"/>
  <c r="H370" i="1"/>
  <c r="D370" i="1"/>
  <c r="O369" i="1"/>
  <c r="K369" i="1"/>
  <c r="G369" i="1"/>
  <c r="C369" i="1"/>
  <c r="N368" i="1"/>
  <c r="J368" i="1"/>
  <c r="F368" i="1"/>
  <c r="B368" i="1"/>
  <c r="M367" i="1"/>
  <c r="I367" i="1"/>
  <c r="E367" i="1"/>
  <c r="P366" i="1"/>
  <c r="L366" i="1"/>
  <c r="H366" i="1"/>
  <c r="D366" i="1"/>
  <c r="O365" i="1"/>
  <c r="K365" i="1"/>
  <c r="G365" i="1"/>
  <c r="C365" i="1"/>
  <c r="N364" i="1"/>
  <c r="J364" i="1"/>
  <c r="F364" i="1"/>
  <c r="B364" i="1"/>
  <c r="M363" i="1"/>
  <c r="I363" i="1"/>
  <c r="E363" i="1"/>
  <c r="P362" i="1"/>
  <c r="L362" i="1"/>
  <c r="H362" i="1"/>
  <c r="D362" i="1"/>
  <c r="O361" i="1"/>
  <c r="K361" i="1"/>
  <c r="G361" i="1"/>
  <c r="C361" i="1"/>
  <c r="N360" i="1"/>
  <c r="J360" i="1"/>
  <c r="F360" i="1"/>
  <c r="K492" i="1"/>
  <c r="O458" i="1"/>
  <c r="J444" i="1"/>
  <c r="F440" i="1"/>
  <c r="B436" i="1"/>
  <c r="M431" i="1"/>
  <c r="I427" i="1"/>
  <c r="E423" i="1"/>
  <c r="K419" i="1"/>
  <c r="I418" i="1"/>
  <c r="H417" i="1"/>
  <c r="G416" i="1"/>
  <c r="F415" i="1"/>
  <c r="E414" i="1"/>
  <c r="D413" i="1"/>
  <c r="C412" i="1"/>
  <c r="B411" i="1"/>
  <c r="P409" i="1"/>
  <c r="O408" i="1"/>
  <c r="N407" i="1"/>
  <c r="M406" i="1"/>
  <c r="L405" i="1"/>
  <c r="K404" i="1"/>
  <c r="J403" i="1"/>
  <c r="I402" i="1"/>
  <c r="H401" i="1"/>
  <c r="G400" i="1"/>
  <c r="F399" i="1"/>
  <c r="E398" i="1"/>
  <c r="D397" i="1"/>
  <c r="C396" i="1"/>
  <c r="B395" i="1"/>
  <c r="P393" i="1"/>
  <c r="O392" i="1"/>
  <c r="N391" i="1"/>
  <c r="M390" i="1"/>
  <c r="L389" i="1"/>
  <c r="K388" i="1"/>
  <c r="J387" i="1"/>
  <c r="I386" i="1"/>
  <c r="H385" i="1"/>
  <c r="G384" i="1"/>
  <c r="F383" i="1"/>
  <c r="E382" i="1"/>
  <c r="D381" i="1"/>
  <c r="C380" i="1"/>
  <c r="B379" i="1"/>
  <c r="P377" i="1"/>
  <c r="O376" i="1"/>
  <c r="N375" i="1"/>
  <c r="M374" i="1"/>
  <c r="L373" i="1"/>
  <c r="K372" i="1"/>
  <c r="J371" i="1"/>
  <c r="I370" i="1"/>
  <c r="H369" i="1"/>
  <c r="G368" i="1"/>
  <c r="F367" i="1"/>
  <c r="E366" i="1"/>
  <c r="D365" i="1"/>
  <c r="C364" i="1"/>
  <c r="B363" i="1"/>
  <c r="P361" i="1"/>
  <c r="I361" i="1"/>
  <c r="D361" i="1"/>
  <c r="M360" i="1"/>
  <c r="H360" i="1"/>
  <c r="C360" i="1"/>
  <c r="N359" i="1"/>
  <c r="J359" i="1"/>
  <c r="F359" i="1"/>
  <c r="B359" i="1"/>
  <c r="M358" i="1"/>
  <c r="I358" i="1"/>
  <c r="E358" i="1"/>
  <c r="P357" i="1"/>
  <c r="L357" i="1"/>
  <c r="H357" i="1"/>
  <c r="D357" i="1"/>
  <c r="O356" i="1"/>
  <c r="K356" i="1"/>
  <c r="G356" i="1"/>
  <c r="C356" i="1"/>
  <c r="N355" i="1"/>
  <c r="J355" i="1"/>
  <c r="F355" i="1"/>
  <c r="B355" i="1"/>
  <c r="M354" i="1"/>
  <c r="I354" i="1"/>
  <c r="E354" i="1"/>
  <c r="P353" i="1"/>
  <c r="L353" i="1"/>
  <c r="H353" i="1"/>
  <c r="D353" i="1"/>
  <c r="O352" i="1"/>
  <c r="K352" i="1"/>
  <c r="G352" i="1"/>
  <c r="C352" i="1"/>
  <c r="N351" i="1"/>
  <c r="J351" i="1"/>
  <c r="F351" i="1"/>
  <c r="B351" i="1"/>
  <c r="M350" i="1"/>
  <c r="I350" i="1"/>
  <c r="E350" i="1"/>
  <c r="P349" i="1"/>
  <c r="L349" i="1"/>
  <c r="H349" i="1"/>
  <c r="D349" i="1"/>
  <c r="O348" i="1"/>
  <c r="K348" i="1"/>
  <c r="G348" i="1"/>
  <c r="C348" i="1"/>
  <c r="N347" i="1"/>
  <c r="J347" i="1"/>
  <c r="F347" i="1"/>
  <c r="B347" i="1"/>
  <c r="M346" i="1"/>
  <c r="I346" i="1"/>
  <c r="E346" i="1"/>
  <c r="P345" i="1"/>
  <c r="L345" i="1"/>
  <c r="H345" i="1"/>
  <c r="D345" i="1"/>
  <c r="O344" i="1"/>
  <c r="K344" i="1"/>
  <c r="G344" i="1"/>
  <c r="C344" i="1"/>
  <c r="N343" i="1"/>
  <c r="J343" i="1"/>
  <c r="F343" i="1"/>
  <c r="B343" i="1"/>
  <c r="M342" i="1"/>
  <c r="I342" i="1"/>
  <c r="E342" i="1"/>
  <c r="P341" i="1"/>
  <c r="L341" i="1"/>
  <c r="H341" i="1"/>
  <c r="D341" i="1"/>
  <c r="O340" i="1"/>
  <c r="K340" i="1"/>
  <c r="G340" i="1"/>
  <c r="C340" i="1"/>
  <c r="N339" i="1"/>
  <c r="J339" i="1"/>
  <c r="F339" i="1"/>
  <c r="B339" i="1"/>
  <c r="M338" i="1"/>
  <c r="I338" i="1"/>
  <c r="E338" i="1"/>
  <c r="P337" i="1"/>
  <c r="L337" i="1"/>
  <c r="H337" i="1"/>
  <c r="D337" i="1"/>
  <c r="O336" i="1"/>
  <c r="K336" i="1"/>
  <c r="G336" i="1"/>
  <c r="C336" i="1"/>
  <c r="N335" i="1"/>
  <c r="J335" i="1"/>
  <c r="F335" i="1"/>
  <c r="B335" i="1"/>
  <c r="M334" i="1"/>
  <c r="I334" i="1"/>
  <c r="E334" i="1"/>
  <c r="P333" i="1"/>
  <c r="L333" i="1"/>
  <c r="H333" i="1"/>
  <c r="D333" i="1"/>
  <c r="O332" i="1"/>
  <c r="K332" i="1"/>
  <c r="G332" i="1"/>
  <c r="C332" i="1"/>
  <c r="N331" i="1"/>
  <c r="J331" i="1"/>
  <c r="F331" i="1"/>
  <c r="B331" i="1"/>
  <c r="M330" i="1"/>
  <c r="I330" i="1"/>
  <c r="E330" i="1"/>
  <c r="P329" i="1"/>
  <c r="L329" i="1"/>
  <c r="H329" i="1"/>
  <c r="D329" i="1"/>
  <c r="O328" i="1"/>
  <c r="K328" i="1"/>
  <c r="G328" i="1"/>
  <c r="C328" i="1"/>
  <c r="N327" i="1"/>
  <c r="J327" i="1"/>
  <c r="F327" i="1"/>
  <c r="B327" i="1"/>
  <c r="M326" i="1"/>
  <c r="I326" i="1"/>
  <c r="E326" i="1"/>
  <c r="P325" i="1"/>
  <c r="L325" i="1"/>
  <c r="H325" i="1"/>
  <c r="D325" i="1"/>
  <c r="O324" i="1"/>
  <c r="K324" i="1"/>
  <c r="G324" i="1"/>
  <c r="C324" i="1"/>
  <c r="N323" i="1"/>
  <c r="J323" i="1"/>
  <c r="F323" i="1"/>
  <c r="B323" i="1"/>
  <c r="M322" i="1"/>
  <c r="I322" i="1"/>
  <c r="E322" i="1"/>
  <c r="P321" i="1"/>
  <c r="L321" i="1"/>
  <c r="H321" i="1"/>
  <c r="D321" i="1"/>
  <c r="O320" i="1"/>
  <c r="K320" i="1"/>
  <c r="G320" i="1"/>
  <c r="C320" i="1"/>
  <c r="N319" i="1"/>
  <c r="J319" i="1"/>
  <c r="F319" i="1"/>
  <c r="B319" i="1"/>
  <c r="M318" i="1"/>
  <c r="I318" i="1"/>
  <c r="E318" i="1"/>
  <c r="P317" i="1"/>
  <c r="L317" i="1"/>
  <c r="H317" i="1"/>
  <c r="D317" i="1"/>
  <c r="O316" i="1"/>
  <c r="K316" i="1"/>
  <c r="G316" i="1"/>
  <c r="C316" i="1"/>
  <c r="N315" i="1"/>
  <c r="J315" i="1"/>
  <c r="F315" i="1"/>
  <c r="B315" i="1"/>
  <c r="M314" i="1"/>
  <c r="I314" i="1"/>
  <c r="E314" i="1"/>
  <c r="P313" i="1"/>
  <c r="L313" i="1"/>
  <c r="H313" i="1"/>
  <c r="D313" i="1"/>
  <c r="O312" i="1"/>
  <c r="K312" i="1"/>
  <c r="G312" i="1"/>
  <c r="C312" i="1"/>
  <c r="N311" i="1"/>
  <c r="J311" i="1"/>
  <c r="F311" i="1"/>
  <c r="J475" i="1"/>
  <c r="K454" i="1"/>
  <c r="I443" i="1"/>
  <c r="E439" i="1"/>
  <c r="P434" i="1"/>
  <c r="L430" i="1"/>
  <c r="H426" i="1"/>
  <c r="D422" i="1"/>
  <c r="F419" i="1"/>
  <c r="E418" i="1"/>
  <c r="D417" i="1"/>
  <c r="C416" i="1"/>
  <c r="B415" i="1"/>
  <c r="P413" i="1"/>
  <c r="O412" i="1"/>
  <c r="N411" i="1"/>
  <c r="M410" i="1"/>
  <c r="L409" i="1"/>
  <c r="K408" i="1"/>
  <c r="J407" i="1"/>
  <c r="I406" i="1"/>
  <c r="H405" i="1"/>
  <c r="G404" i="1"/>
  <c r="F403" i="1"/>
  <c r="E402" i="1"/>
  <c r="D401" i="1"/>
  <c r="C400" i="1"/>
  <c r="B399" i="1"/>
  <c r="P397" i="1"/>
  <c r="O396" i="1"/>
  <c r="N395" i="1"/>
  <c r="M394" i="1"/>
  <c r="L393" i="1"/>
  <c r="K392" i="1"/>
  <c r="J391" i="1"/>
  <c r="I390" i="1"/>
  <c r="H389" i="1"/>
  <c r="G388" i="1"/>
  <c r="F387" i="1"/>
  <c r="E386" i="1"/>
  <c r="D385" i="1"/>
  <c r="C384" i="1"/>
  <c r="B383" i="1"/>
  <c r="P381" i="1"/>
  <c r="O380" i="1"/>
  <c r="N379" i="1"/>
  <c r="M378" i="1"/>
  <c r="L377" i="1"/>
  <c r="K376" i="1"/>
  <c r="J375" i="1"/>
  <c r="I374" i="1"/>
  <c r="H373" i="1"/>
  <c r="G372" i="1"/>
  <c r="F371" i="1"/>
  <c r="E370" i="1"/>
  <c r="D369" i="1"/>
  <c r="C368" i="1"/>
  <c r="B367" i="1"/>
  <c r="P365" i="1"/>
  <c r="O364" i="1"/>
  <c r="N363" i="1"/>
  <c r="M362" i="1"/>
  <c r="M361" i="1"/>
  <c r="H361" i="1"/>
  <c r="B361" i="1"/>
  <c r="L360" i="1"/>
  <c r="G360" i="1"/>
  <c r="B360" i="1"/>
  <c r="M359" i="1"/>
  <c r="I359" i="1"/>
  <c r="E359" i="1"/>
  <c r="P358" i="1"/>
  <c r="L358" i="1"/>
  <c r="H358" i="1"/>
  <c r="D358" i="1"/>
  <c r="O357" i="1"/>
  <c r="K357" i="1"/>
  <c r="G357" i="1"/>
  <c r="C357" i="1"/>
  <c r="N356" i="1"/>
  <c r="J356" i="1"/>
  <c r="F356" i="1"/>
  <c r="B356" i="1"/>
  <c r="M355" i="1"/>
  <c r="I355" i="1"/>
  <c r="E355" i="1"/>
  <c r="P354" i="1"/>
  <c r="L354" i="1"/>
  <c r="H354" i="1"/>
  <c r="D354" i="1"/>
  <c r="O353" i="1"/>
  <c r="K353" i="1"/>
  <c r="G353" i="1"/>
  <c r="C353" i="1"/>
  <c r="N352" i="1"/>
  <c r="J352" i="1"/>
  <c r="F352" i="1"/>
  <c r="B352" i="1"/>
  <c r="M351" i="1"/>
  <c r="I351" i="1"/>
  <c r="E351" i="1"/>
  <c r="P350" i="1"/>
  <c r="L350" i="1"/>
  <c r="H350" i="1"/>
  <c r="D350" i="1"/>
  <c r="O349" i="1"/>
  <c r="K349" i="1"/>
  <c r="G349" i="1"/>
  <c r="C349" i="1"/>
  <c r="N348" i="1"/>
  <c r="J348" i="1"/>
  <c r="F348" i="1"/>
  <c r="B348" i="1"/>
  <c r="M347" i="1"/>
  <c r="I347" i="1"/>
  <c r="E347" i="1"/>
  <c r="P346" i="1"/>
  <c r="L346" i="1"/>
  <c r="H346" i="1"/>
  <c r="D346" i="1"/>
  <c r="O345" i="1"/>
  <c r="K345" i="1"/>
  <c r="G345" i="1"/>
  <c r="C345" i="1"/>
  <c r="N344" i="1"/>
  <c r="J344" i="1"/>
  <c r="F344" i="1"/>
  <c r="B344" i="1"/>
  <c r="M343" i="1"/>
  <c r="I343" i="1"/>
  <c r="E343" i="1"/>
  <c r="P342" i="1"/>
  <c r="L342" i="1"/>
  <c r="H342" i="1"/>
  <c r="D342" i="1"/>
  <c r="O341" i="1"/>
  <c r="K341" i="1"/>
  <c r="G341" i="1"/>
  <c r="C341" i="1"/>
  <c r="N340" i="1"/>
  <c r="J340" i="1"/>
  <c r="F340" i="1"/>
  <c r="B340" i="1"/>
  <c r="M339" i="1"/>
  <c r="I339" i="1"/>
  <c r="E339" i="1"/>
  <c r="P338" i="1"/>
  <c r="L338" i="1"/>
  <c r="H338" i="1"/>
  <c r="D338" i="1"/>
  <c r="O337" i="1"/>
  <c r="K337" i="1"/>
  <c r="G337" i="1"/>
  <c r="C337" i="1"/>
  <c r="N336" i="1"/>
  <c r="J336" i="1"/>
  <c r="F336" i="1"/>
  <c r="B336" i="1"/>
  <c r="M335" i="1"/>
  <c r="I335" i="1"/>
  <c r="E335" i="1"/>
  <c r="P334" i="1"/>
  <c r="L334" i="1"/>
  <c r="H334" i="1"/>
  <c r="D334" i="1"/>
  <c r="O333" i="1"/>
  <c r="K333" i="1"/>
  <c r="G333" i="1"/>
  <c r="C333" i="1"/>
  <c r="N332" i="1"/>
  <c r="J332" i="1"/>
  <c r="F332" i="1"/>
  <c r="B332" i="1"/>
  <c r="M331" i="1"/>
  <c r="I331" i="1"/>
  <c r="E331" i="1"/>
  <c r="P330" i="1"/>
  <c r="L330" i="1"/>
  <c r="H330" i="1"/>
  <c r="D330" i="1"/>
  <c r="O329" i="1"/>
  <c r="K329" i="1"/>
  <c r="G329" i="1"/>
  <c r="C329" i="1"/>
  <c r="N328" i="1"/>
  <c r="J328" i="1"/>
  <c r="F328" i="1"/>
  <c r="B328" i="1"/>
  <c r="M327" i="1"/>
  <c r="I327" i="1"/>
  <c r="E327" i="1"/>
  <c r="P326" i="1"/>
  <c r="L326" i="1"/>
  <c r="H326" i="1"/>
  <c r="D326" i="1"/>
  <c r="O325" i="1"/>
  <c r="K325" i="1"/>
  <c r="G325" i="1"/>
  <c r="C325" i="1"/>
  <c r="N324" i="1"/>
  <c r="J324" i="1"/>
  <c r="F324" i="1"/>
  <c r="B324" i="1"/>
  <c r="M323" i="1"/>
  <c r="I323" i="1"/>
  <c r="E323" i="1"/>
  <c r="P322" i="1"/>
  <c r="L322" i="1"/>
  <c r="H322" i="1"/>
  <c r="D322" i="1"/>
  <c r="O321" i="1"/>
  <c r="K321" i="1"/>
  <c r="G321" i="1"/>
  <c r="C321" i="1"/>
  <c r="N320" i="1"/>
  <c r="J320" i="1"/>
  <c r="F320" i="1"/>
  <c r="B320" i="1"/>
  <c r="M319" i="1"/>
  <c r="I319" i="1"/>
  <c r="E319" i="1"/>
  <c r="P318" i="1"/>
  <c r="L318" i="1"/>
  <c r="H318" i="1"/>
  <c r="D318" i="1"/>
  <c r="O317" i="1"/>
  <c r="K317" i="1"/>
  <c r="G317" i="1"/>
  <c r="C317" i="1"/>
  <c r="N316" i="1"/>
  <c r="J316" i="1"/>
  <c r="F316" i="1"/>
  <c r="B316" i="1"/>
  <c r="M315" i="1"/>
  <c r="I315" i="1"/>
  <c r="E315" i="1"/>
  <c r="P314" i="1"/>
  <c r="L314" i="1"/>
  <c r="H314" i="1"/>
  <c r="D314" i="1"/>
  <c r="O313" i="1"/>
  <c r="K313" i="1"/>
  <c r="G313" i="1"/>
  <c r="C313" i="1"/>
  <c r="N312" i="1"/>
  <c r="J312" i="1"/>
  <c r="F312" i="1"/>
  <c r="B312" i="1"/>
  <c r="M311" i="1"/>
  <c r="I311" i="1"/>
  <c r="E311" i="1"/>
  <c r="P310" i="1"/>
  <c r="L310" i="1"/>
  <c r="H310" i="1"/>
  <c r="D310" i="1"/>
  <c r="D463" i="1"/>
  <c r="C446" i="1"/>
  <c r="G441" i="1"/>
  <c r="C437" i="1"/>
  <c r="N432" i="1"/>
  <c r="J428" i="1"/>
  <c r="F424" i="1"/>
  <c r="B420" i="1"/>
  <c r="M418" i="1"/>
  <c r="L417" i="1"/>
  <c r="K416" i="1"/>
  <c r="J415" i="1"/>
  <c r="I414" i="1"/>
  <c r="H413" i="1"/>
  <c r="G412" i="1"/>
  <c r="F411" i="1"/>
  <c r="E410" i="1"/>
  <c r="D409" i="1"/>
  <c r="C408" i="1"/>
  <c r="B407" i="1"/>
  <c r="P405" i="1"/>
  <c r="O404" i="1"/>
  <c r="N403" i="1"/>
  <c r="M402" i="1"/>
  <c r="L401" i="1"/>
  <c r="K400" i="1"/>
  <c r="J399" i="1"/>
  <c r="I398" i="1"/>
  <c r="H397" i="1"/>
  <c r="G396" i="1"/>
  <c r="F395" i="1"/>
  <c r="E394" i="1"/>
  <c r="D393" i="1"/>
  <c r="C392" i="1"/>
  <c r="B391" i="1"/>
  <c r="P389" i="1"/>
  <c r="O388" i="1"/>
  <c r="N387" i="1"/>
  <c r="M386" i="1"/>
  <c r="L385" i="1"/>
  <c r="K384" i="1"/>
  <c r="J383" i="1"/>
  <c r="I382" i="1"/>
  <c r="H381" i="1"/>
  <c r="G380" i="1"/>
  <c r="F379" i="1"/>
  <c r="E378" i="1"/>
  <c r="D377" i="1"/>
  <c r="C376" i="1"/>
  <c r="B375" i="1"/>
  <c r="P373" i="1"/>
  <c r="O372" i="1"/>
  <c r="N371" i="1"/>
  <c r="M370" i="1"/>
  <c r="L369" i="1"/>
  <c r="K368" i="1"/>
  <c r="J367" i="1"/>
  <c r="I366" i="1"/>
  <c r="H365" i="1"/>
  <c r="G364" i="1"/>
  <c r="F363" i="1"/>
  <c r="E362" i="1"/>
  <c r="J361" i="1"/>
  <c r="E361" i="1"/>
  <c r="O360" i="1"/>
  <c r="I360" i="1"/>
  <c r="D360" i="1"/>
  <c r="O359" i="1"/>
  <c r="K359" i="1"/>
  <c r="G359" i="1"/>
  <c r="C359" i="1"/>
  <c r="N358" i="1"/>
  <c r="J358" i="1"/>
  <c r="F358" i="1"/>
  <c r="B358" i="1"/>
  <c r="M357" i="1"/>
  <c r="I357" i="1"/>
  <c r="E357" i="1"/>
  <c r="P356" i="1"/>
  <c r="L356" i="1"/>
  <c r="H356" i="1"/>
  <c r="D356" i="1"/>
  <c r="O355" i="1"/>
  <c r="K355" i="1"/>
  <c r="G355" i="1"/>
  <c r="C355" i="1"/>
  <c r="N354" i="1"/>
  <c r="J354" i="1"/>
  <c r="F354" i="1"/>
  <c r="B354" i="1"/>
  <c r="M353" i="1"/>
  <c r="I353" i="1"/>
  <c r="E353" i="1"/>
  <c r="P352" i="1"/>
  <c r="L352" i="1"/>
  <c r="H352" i="1"/>
  <c r="D352" i="1"/>
  <c r="O351" i="1"/>
  <c r="K351" i="1"/>
  <c r="G351" i="1"/>
  <c r="C351" i="1"/>
  <c r="N350" i="1"/>
  <c r="J350" i="1"/>
  <c r="F350" i="1"/>
  <c r="B350" i="1"/>
  <c r="M349" i="1"/>
  <c r="I349" i="1"/>
  <c r="E349" i="1"/>
  <c r="P348" i="1"/>
  <c r="L348" i="1"/>
  <c r="H348" i="1"/>
  <c r="D348" i="1"/>
  <c r="O347" i="1"/>
  <c r="K347" i="1"/>
  <c r="G347" i="1"/>
  <c r="C347" i="1"/>
  <c r="N346" i="1"/>
  <c r="J346" i="1"/>
  <c r="F346" i="1"/>
  <c r="B346" i="1"/>
  <c r="M345" i="1"/>
  <c r="I345" i="1"/>
  <c r="E345" i="1"/>
  <c r="P344" i="1"/>
  <c r="L344" i="1"/>
  <c r="H344" i="1"/>
  <c r="D344" i="1"/>
  <c r="O343" i="1"/>
  <c r="K343" i="1"/>
  <c r="G343" i="1"/>
  <c r="C343" i="1"/>
  <c r="N342" i="1"/>
  <c r="J342" i="1"/>
  <c r="F342" i="1"/>
  <c r="B342" i="1"/>
  <c r="M341" i="1"/>
  <c r="I341" i="1"/>
  <c r="E341" i="1"/>
  <c r="P340" i="1"/>
  <c r="L340" i="1"/>
  <c r="H340" i="1"/>
  <c r="D340" i="1"/>
  <c r="O339" i="1"/>
  <c r="K339" i="1"/>
  <c r="G339" i="1"/>
  <c r="C339" i="1"/>
  <c r="N338" i="1"/>
  <c r="J338" i="1"/>
  <c r="F338" i="1"/>
  <c r="B338" i="1"/>
  <c r="M337" i="1"/>
  <c r="I337" i="1"/>
  <c r="E337" i="1"/>
  <c r="P336" i="1"/>
  <c r="L336" i="1"/>
  <c r="H336" i="1"/>
  <c r="D336" i="1"/>
  <c r="O335" i="1"/>
  <c r="K335" i="1"/>
  <c r="G335" i="1"/>
  <c r="C335" i="1"/>
  <c r="N334" i="1"/>
  <c r="J334" i="1"/>
  <c r="F334" i="1"/>
  <c r="B334" i="1"/>
  <c r="M333" i="1"/>
  <c r="I333" i="1"/>
  <c r="E333" i="1"/>
  <c r="P332" i="1"/>
  <c r="L332" i="1"/>
  <c r="H332" i="1"/>
  <c r="D332" i="1"/>
  <c r="O331" i="1"/>
  <c r="K331" i="1"/>
  <c r="G331" i="1"/>
  <c r="C331" i="1"/>
  <c r="N330" i="1"/>
  <c r="J330" i="1"/>
  <c r="F330" i="1"/>
  <c r="B330" i="1"/>
  <c r="M329" i="1"/>
  <c r="I329" i="1"/>
  <c r="E329" i="1"/>
  <c r="P328" i="1"/>
  <c r="L328" i="1"/>
  <c r="H328" i="1"/>
  <c r="D328" i="1"/>
  <c r="O327" i="1"/>
  <c r="K327" i="1"/>
  <c r="G327" i="1"/>
  <c r="C327" i="1"/>
  <c r="N326" i="1"/>
  <c r="J326" i="1"/>
  <c r="F326" i="1"/>
  <c r="B326" i="1"/>
  <c r="M325" i="1"/>
  <c r="I325" i="1"/>
  <c r="E325" i="1"/>
  <c r="P324" i="1"/>
  <c r="L324" i="1"/>
  <c r="H324" i="1"/>
  <c r="D324" i="1"/>
  <c r="O323" i="1"/>
  <c r="K323" i="1"/>
  <c r="G323" i="1"/>
  <c r="C323" i="1"/>
  <c r="N322" i="1"/>
  <c r="J322" i="1"/>
  <c r="F322" i="1"/>
  <c r="B322" i="1"/>
  <c r="M321" i="1"/>
  <c r="I321" i="1"/>
  <c r="E321" i="1"/>
  <c r="P320" i="1"/>
  <c r="L320" i="1"/>
  <c r="H320" i="1"/>
  <c r="D320" i="1"/>
  <c r="O319" i="1"/>
  <c r="K319" i="1"/>
  <c r="G319" i="1"/>
  <c r="C319" i="1"/>
  <c r="N318" i="1"/>
  <c r="J318" i="1"/>
  <c r="F318" i="1"/>
  <c r="B318" i="1"/>
  <c r="M317" i="1"/>
  <c r="I317" i="1"/>
  <c r="E317" i="1"/>
  <c r="P316" i="1"/>
  <c r="L316" i="1"/>
  <c r="H316" i="1"/>
  <c r="D316" i="1"/>
  <c r="O315" i="1"/>
  <c r="K315" i="1"/>
  <c r="G315" i="1"/>
  <c r="C315" i="1"/>
  <c r="N314" i="1"/>
  <c r="J314" i="1"/>
  <c r="F314" i="1"/>
  <c r="B314" i="1"/>
  <c r="M313" i="1"/>
  <c r="I313" i="1"/>
  <c r="E313" i="1"/>
  <c r="P312" i="1"/>
  <c r="L312" i="1"/>
  <c r="H312" i="1"/>
  <c r="D312" i="1"/>
  <c r="O311" i="1"/>
  <c r="K311" i="1"/>
  <c r="G311" i="1"/>
  <c r="H467" i="1"/>
  <c r="O433" i="1"/>
  <c r="B419" i="1"/>
  <c r="M414" i="1"/>
  <c r="I410" i="1"/>
  <c r="E406" i="1"/>
  <c r="P401" i="1"/>
  <c r="L397" i="1"/>
  <c r="H393" i="1"/>
  <c r="D389" i="1"/>
  <c r="O384" i="1"/>
  <c r="K380" i="1"/>
  <c r="G376" i="1"/>
  <c r="C372" i="1"/>
  <c r="N367" i="1"/>
  <c r="J363" i="1"/>
  <c r="P360" i="1"/>
  <c r="L359" i="1"/>
  <c r="K358" i="1"/>
  <c r="J357" i="1"/>
  <c r="I356" i="1"/>
  <c r="H355" i="1"/>
  <c r="G354" i="1"/>
  <c r="F353" i="1"/>
  <c r="E352" i="1"/>
  <c r="D351" i="1"/>
  <c r="C350" i="1"/>
  <c r="B349" i="1"/>
  <c r="P347" i="1"/>
  <c r="O346" i="1"/>
  <c r="N345" i="1"/>
  <c r="M344" i="1"/>
  <c r="L343" i="1"/>
  <c r="K342" i="1"/>
  <c r="J341" i="1"/>
  <c r="I340" i="1"/>
  <c r="H339" i="1"/>
  <c r="G338" i="1"/>
  <c r="F337" i="1"/>
  <c r="E336" i="1"/>
  <c r="D335" i="1"/>
  <c r="C334" i="1"/>
  <c r="B333" i="1"/>
  <c r="P331" i="1"/>
  <c r="O330" i="1"/>
  <c r="N329" i="1"/>
  <c r="M328" i="1"/>
  <c r="L327" i="1"/>
  <c r="K326" i="1"/>
  <c r="J325" i="1"/>
  <c r="I324" i="1"/>
  <c r="H323" i="1"/>
  <c r="G322" i="1"/>
  <c r="F321" i="1"/>
  <c r="E320" i="1"/>
  <c r="D319" i="1"/>
  <c r="C318" i="1"/>
  <c r="B317" i="1"/>
  <c r="P315" i="1"/>
  <c r="O314" i="1"/>
  <c r="N313" i="1"/>
  <c r="M312" i="1"/>
  <c r="L311" i="1"/>
  <c r="B311" i="1"/>
  <c r="K310" i="1"/>
  <c r="F310" i="1"/>
  <c r="P309" i="1"/>
  <c r="L309" i="1"/>
  <c r="H309" i="1"/>
  <c r="D309" i="1"/>
  <c r="O308" i="1"/>
  <c r="K308" i="1"/>
  <c r="G308" i="1"/>
  <c r="C308" i="1"/>
  <c r="N307" i="1"/>
  <c r="J307" i="1"/>
  <c r="F307" i="1"/>
  <c r="B307" i="1"/>
  <c r="M306" i="1"/>
  <c r="I306" i="1"/>
  <c r="E306" i="1"/>
  <c r="P305" i="1"/>
  <c r="L305" i="1"/>
  <c r="H305" i="1"/>
  <c r="D305" i="1"/>
  <c r="O304" i="1"/>
  <c r="K304" i="1"/>
  <c r="G304" i="1"/>
  <c r="C304" i="1"/>
  <c r="N303" i="1"/>
  <c r="J303" i="1"/>
  <c r="F303" i="1"/>
  <c r="B303" i="1"/>
  <c r="M302" i="1"/>
  <c r="I302" i="1"/>
  <c r="E302" i="1"/>
  <c r="P301" i="1"/>
  <c r="L301" i="1"/>
  <c r="H301" i="1"/>
  <c r="D301" i="1"/>
  <c r="O300" i="1"/>
  <c r="K300" i="1"/>
  <c r="G300" i="1"/>
  <c r="C300" i="1"/>
  <c r="N299" i="1"/>
  <c r="J299" i="1"/>
  <c r="F299" i="1"/>
  <c r="B299" i="1"/>
  <c r="M298" i="1"/>
  <c r="I298" i="1"/>
  <c r="E298" i="1"/>
  <c r="P297" i="1"/>
  <c r="L297" i="1"/>
  <c r="H297" i="1"/>
  <c r="D297" i="1"/>
  <c r="O296" i="1"/>
  <c r="K296" i="1"/>
  <c r="G296" i="1"/>
  <c r="C296" i="1"/>
  <c r="N295" i="1"/>
  <c r="J295" i="1"/>
  <c r="F295" i="1"/>
  <c r="B295" i="1"/>
  <c r="M294" i="1"/>
  <c r="I294" i="1"/>
  <c r="E294" i="1"/>
  <c r="P293" i="1"/>
  <c r="L293" i="1"/>
  <c r="H293" i="1"/>
  <c r="D293" i="1"/>
  <c r="O292" i="1"/>
  <c r="K292" i="1"/>
  <c r="G292" i="1"/>
  <c r="C292" i="1"/>
  <c r="N291" i="1"/>
  <c r="J291" i="1"/>
  <c r="F291" i="1"/>
  <c r="B291" i="1"/>
  <c r="M290" i="1"/>
  <c r="I290" i="1"/>
  <c r="E290" i="1"/>
  <c r="P289" i="1"/>
  <c r="L289" i="1"/>
  <c r="H289" i="1"/>
  <c r="D289" i="1"/>
  <c r="O288" i="1"/>
  <c r="K288" i="1"/>
  <c r="G288" i="1"/>
  <c r="C288" i="1"/>
  <c r="N287" i="1"/>
  <c r="J287" i="1"/>
  <c r="F287" i="1"/>
  <c r="B287" i="1"/>
  <c r="M286" i="1"/>
  <c r="I286" i="1"/>
  <c r="E286" i="1"/>
  <c r="P285" i="1"/>
  <c r="L285" i="1"/>
  <c r="H285" i="1"/>
  <c r="D285" i="1"/>
  <c r="O284" i="1"/>
  <c r="K284" i="1"/>
  <c r="G284" i="1"/>
  <c r="C284" i="1"/>
  <c r="N283" i="1"/>
  <c r="J283" i="1"/>
  <c r="F283" i="1"/>
  <c r="B283" i="1"/>
  <c r="M282" i="1"/>
  <c r="I282" i="1"/>
  <c r="E282" i="1"/>
  <c r="P281" i="1"/>
  <c r="L281" i="1"/>
  <c r="H281" i="1"/>
  <c r="D281" i="1"/>
  <c r="O280" i="1"/>
  <c r="K280" i="1"/>
  <c r="G280" i="1"/>
  <c r="C280" i="1"/>
  <c r="N279" i="1"/>
  <c r="J279" i="1"/>
  <c r="F279" i="1"/>
  <c r="B279" i="1"/>
  <c r="M278" i="1"/>
  <c r="I278" i="1"/>
  <c r="E278" i="1"/>
  <c r="P277" i="1"/>
  <c r="L277" i="1"/>
  <c r="H277" i="1"/>
  <c r="D277" i="1"/>
  <c r="O276" i="1"/>
  <c r="K276" i="1"/>
  <c r="G276" i="1"/>
  <c r="C276" i="1"/>
  <c r="N275" i="1"/>
  <c r="J275" i="1"/>
  <c r="F275" i="1"/>
  <c r="B275" i="1"/>
  <c r="M274" i="1"/>
  <c r="I274" i="1"/>
  <c r="E274" i="1"/>
  <c r="P273" i="1"/>
  <c r="L273" i="1"/>
  <c r="H273" i="1"/>
  <c r="D273" i="1"/>
  <c r="O272" i="1"/>
  <c r="K272" i="1"/>
  <c r="G272" i="1"/>
  <c r="C272" i="1"/>
  <c r="N271" i="1"/>
  <c r="J271" i="1"/>
  <c r="F271" i="1"/>
  <c r="B271" i="1"/>
  <c r="M270" i="1"/>
  <c r="I270" i="1"/>
  <c r="E270" i="1"/>
  <c r="P269" i="1"/>
  <c r="L269" i="1"/>
  <c r="H269" i="1"/>
  <c r="D269" i="1"/>
  <c r="O268" i="1"/>
  <c r="K268" i="1"/>
  <c r="G268" i="1"/>
  <c r="C268" i="1"/>
  <c r="N267" i="1"/>
  <c r="J267" i="1"/>
  <c r="F267" i="1"/>
  <c r="B267" i="1"/>
  <c r="M266" i="1"/>
  <c r="I266" i="1"/>
  <c r="E266" i="1"/>
  <c r="P265" i="1"/>
  <c r="L265" i="1"/>
  <c r="H265" i="1"/>
  <c r="D265" i="1"/>
  <c r="O264" i="1"/>
  <c r="K264" i="1"/>
  <c r="G264" i="1"/>
  <c r="C264" i="1"/>
  <c r="N263" i="1"/>
  <c r="J263" i="1"/>
  <c r="F263" i="1"/>
  <c r="B263" i="1"/>
  <c r="M262" i="1"/>
  <c r="I262" i="1"/>
  <c r="E262" i="1"/>
  <c r="P261" i="1"/>
  <c r="L261" i="1"/>
  <c r="H261" i="1"/>
  <c r="D261" i="1"/>
  <c r="O260" i="1"/>
  <c r="K260" i="1"/>
  <c r="G260" i="1"/>
  <c r="C260" i="1"/>
  <c r="N259" i="1"/>
  <c r="G450" i="1"/>
  <c r="K429" i="1"/>
  <c r="P417" i="1"/>
  <c r="L413" i="1"/>
  <c r="H409" i="1"/>
  <c r="D405" i="1"/>
  <c r="O400" i="1"/>
  <c r="K396" i="1"/>
  <c r="G392" i="1"/>
  <c r="C388" i="1"/>
  <c r="N383" i="1"/>
  <c r="J379" i="1"/>
  <c r="F375" i="1"/>
  <c r="B371" i="1"/>
  <c r="M366" i="1"/>
  <c r="I362" i="1"/>
  <c r="K360" i="1"/>
  <c r="H359" i="1"/>
  <c r="G358" i="1"/>
  <c r="F357" i="1"/>
  <c r="E356" i="1"/>
  <c r="D355" i="1"/>
  <c r="C354" i="1"/>
  <c r="B353" i="1"/>
  <c r="P351" i="1"/>
  <c r="O350" i="1"/>
  <c r="N349" i="1"/>
  <c r="M348" i="1"/>
  <c r="L347" i="1"/>
  <c r="K346" i="1"/>
  <c r="J345" i="1"/>
  <c r="I344" i="1"/>
  <c r="H343" i="1"/>
  <c r="G342" i="1"/>
  <c r="F341" i="1"/>
  <c r="E340" i="1"/>
  <c r="D339" i="1"/>
  <c r="C338" i="1"/>
  <c r="B337" i="1"/>
  <c r="P335" i="1"/>
  <c r="O334" i="1"/>
  <c r="N333" i="1"/>
  <c r="M332" i="1"/>
  <c r="L331" i="1"/>
  <c r="K330" i="1"/>
  <c r="J329" i="1"/>
  <c r="I328" i="1"/>
  <c r="H327" i="1"/>
  <c r="G326" i="1"/>
  <c r="F325" i="1"/>
  <c r="E324" i="1"/>
  <c r="D323" i="1"/>
  <c r="C322" i="1"/>
  <c r="B321" i="1"/>
  <c r="P319" i="1"/>
  <c r="O318" i="1"/>
  <c r="N317" i="1"/>
  <c r="M316" i="1"/>
  <c r="L315" i="1"/>
  <c r="K314" i="1"/>
  <c r="J313" i="1"/>
  <c r="I312" i="1"/>
  <c r="H311" i="1"/>
  <c r="O310" i="1"/>
  <c r="J310" i="1"/>
  <c r="E310" i="1"/>
  <c r="O309" i="1"/>
  <c r="K309" i="1"/>
  <c r="G309" i="1"/>
  <c r="C309" i="1"/>
  <c r="N308" i="1"/>
  <c r="J308" i="1"/>
  <c r="F308" i="1"/>
  <c r="B308" i="1"/>
  <c r="M307" i="1"/>
  <c r="I307" i="1"/>
  <c r="E307" i="1"/>
  <c r="P306" i="1"/>
  <c r="L306" i="1"/>
  <c r="H306" i="1"/>
  <c r="D306" i="1"/>
  <c r="O305" i="1"/>
  <c r="K305" i="1"/>
  <c r="G305" i="1"/>
  <c r="C305" i="1"/>
  <c r="N304" i="1"/>
  <c r="J304" i="1"/>
  <c r="F304" i="1"/>
  <c r="B304" i="1"/>
  <c r="M303" i="1"/>
  <c r="I303" i="1"/>
  <c r="E303" i="1"/>
  <c r="P302" i="1"/>
  <c r="L302" i="1"/>
  <c r="H302" i="1"/>
  <c r="D302" i="1"/>
  <c r="O301" i="1"/>
  <c r="K301" i="1"/>
  <c r="G301" i="1"/>
  <c r="C301" i="1"/>
  <c r="N300" i="1"/>
  <c r="J300" i="1"/>
  <c r="F300" i="1"/>
  <c r="B300" i="1"/>
  <c r="M299" i="1"/>
  <c r="I299" i="1"/>
  <c r="E299" i="1"/>
  <c r="P298" i="1"/>
  <c r="L298" i="1"/>
  <c r="H298" i="1"/>
  <c r="D298" i="1"/>
  <c r="O297" i="1"/>
  <c r="K297" i="1"/>
  <c r="G297" i="1"/>
  <c r="C297" i="1"/>
  <c r="N296" i="1"/>
  <c r="J296" i="1"/>
  <c r="F296" i="1"/>
  <c r="B296" i="1"/>
  <c r="M295" i="1"/>
  <c r="I295" i="1"/>
  <c r="E295" i="1"/>
  <c r="P294" i="1"/>
  <c r="L294" i="1"/>
  <c r="H294" i="1"/>
  <c r="D294" i="1"/>
  <c r="O293" i="1"/>
  <c r="K293" i="1"/>
  <c r="G293" i="1"/>
  <c r="C293" i="1"/>
  <c r="N292" i="1"/>
  <c r="J292" i="1"/>
  <c r="F292" i="1"/>
  <c r="B292" i="1"/>
  <c r="M291" i="1"/>
  <c r="I291" i="1"/>
  <c r="E291" i="1"/>
  <c r="P290" i="1"/>
  <c r="L290" i="1"/>
  <c r="H290" i="1"/>
  <c r="D290" i="1"/>
  <c r="O289" i="1"/>
  <c r="K289" i="1"/>
  <c r="G289" i="1"/>
  <c r="C289" i="1"/>
  <c r="N288" i="1"/>
  <c r="J288" i="1"/>
  <c r="F288" i="1"/>
  <c r="B288" i="1"/>
  <c r="M287" i="1"/>
  <c r="I287" i="1"/>
  <c r="E287" i="1"/>
  <c r="P286" i="1"/>
  <c r="L286" i="1"/>
  <c r="H286" i="1"/>
  <c r="D286" i="1"/>
  <c r="O285" i="1"/>
  <c r="K285" i="1"/>
  <c r="G285" i="1"/>
  <c r="C285" i="1"/>
  <c r="N284" i="1"/>
  <c r="J284" i="1"/>
  <c r="F284" i="1"/>
  <c r="B284" i="1"/>
  <c r="M283" i="1"/>
  <c r="I283" i="1"/>
  <c r="E283" i="1"/>
  <c r="P282" i="1"/>
  <c r="L282" i="1"/>
  <c r="H282" i="1"/>
  <c r="D282" i="1"/>
  <c r="O281" i="1"/>
  <c r="K281" i="1"/>
  <c r="G281" i="1"/>
  <c r="C281" i="1"/>
  <c r="N280" i="1"/>
  <c r="J280" i="1"/>
  <c r="F280" i="1"/>
  <c r="B280" i="1"/>
  <c r="M279" i="1"/>
  <c r="I279" i="1"/>
  <c r="E279" i="1"/>
  <c r="P278" i="1"/>
  <c r="L278" i="1"/>
  <c r="H278" i="1"/>
  <c r="D278" i="1"/>
  <c r="O277" i="1"/>
  <c r="K277" i="1"/>
  <c r="G277" i="1"/>
  <c r="C277" i="1"/>
  <c r="N276" i="1"/>
  <c r="J276" i="1"/>
  <c r="F276" i="1"/>
  <c r="B276" i="1"/>
  <c r="M275" i="1"/>
  <c r="I275" i="1"/>
  <c r="E275" i="1"/>
  <c r="P274" i="1"/>
  <c r="L274" i="1"/>
  <c r="H274" i="1"/>
  <c r="D274" i="1"/>
  <c r="O273" i="1"/>
  <c r="K273" i="1"/>
  <c r="G273" i="1"/>
  <c r="C273" i="1"/>
  <c r="N272" i="1"/>
  <c r="J272" i="1"/>
  <c r="F272" i="1"/>
  <c r="B272" i="1"/>
  <c r="M271" i="1"/>
  <c r="I271" i="1"/>
  <c r="E271" i="1"/>
  <c r="P270" i="1"/>
  <c r="L270" i="1"/>
  <c r="H270" i="1"/>
  <c r="D270" i="1"/>
  <c r="O269" i="1"/>
  <c r="K269" i="1"/>
  <c r="G269" i="1"/>
  <c r="C269" i="1"/>
  <c r="N268" i="1"/>
  <c r="J268" i="1"/>
  <c r="F268" i="1"/>
  <c r="B268" i="1"/>
  <c r="M267" i="1"/>
  <c r="I267" i="1"/>
  <c r="E267" i="1"/>
  <c r="P266" i="1"/>
  <c r="L266" i="1"/>
  <c r="H266" i="1"/>
  <c r="D266" i="1"/>
  <c r="O265" i="1"/>
  <c r="K265" i="1"/>
  <c r="G265" i="1"/>
  <c r="C265" i="1"/>
  <c r="N264" i="1"/>
  <c r="J264" i="1"/>
  <c r="F264" i="1"/>
  <c r="B264" i="1"/>
  <c r="M263" i="1"/>
  <c r="I263" i="1"/>
  <c r="E263" i="1"/>
  <c r="P262" i="1"/>
  <c r="L262" i="1"/>
  <c r="H262" i="1"/>
  <c r="D262" i="1"/>
  <c r="O261" i="1"/>
  <c r="K261" i="1"/>
  <c r="G261" i="1"/>
  <c r="C261" i="1"/>
  <c r="N260" i="1"/>
  <c r="J260" i="1"/>
  <c r="F260" i="1"/>
  <c r="B260" i="1"/>
  <c r="M259" i="1"/>
  <c r="I259" i="1"/>
  <c r="D438" i="1"/>
  <c r="C421" i="1"/>
  <c r="N415" i="1"/>
  <c r="J411" i="1"/>
  <c r="F407" i="1"/>
  <c r="B403" i="1"/>
  <c r="M398" i="1"/>
  <c r="I394" i="1"/>
  <c r="E390" i="1"/>
  <c r="P385" i="1"/>
  <c r="L381" i="1"/>
  <c r="H377" i="1"/>
  <c r="D373" i="1"/>
  <c r="O368" i="1"/>
  <c r="K364" i="1"/>
  <c r="F361" i="1"/>
  <c r="P359" i="1"/>
  <c r="O358" i="1"/>
  <c r="N357" i="1"/>
  <c r="M356" i="1"/>
  <c r="L355" i="1"/>
  <c r="K354" i="1"/>
  <c r="J353" i="1"/>
  <c r="I352" i="1"/>
  <c r="H351" i="1"/>
  <c r="G350" i="1"/>
  <c r="F349" i="1"/>
  <c r="E348" i="1"/>
  <c r="D347" i="1"/>
  <c r="C346" i="1"/>
  <c r="B345" i="1"/>
  <c r="P343" i="1"/>
  <c r="O342" i="1"/>
  <c r="N341" i="1"/>
  <c r="M340" i="1"/>
  <c r="L339" i="1"/>
  <c r="K338" i="1"/>
  <c r="J337" i="1"/>
  <c r="I336" i="1"/>
  <c r="H335" i="1"/>
  <c r="G334" i="1"/>
  <c r="F333" i="1"/>
  <c r="E332" i="1"/>
  <c r="D331" i="1"/>
  <c r="C330" i="1"/>
  <c r="B329" i="1"/>
  <c r="P327" i="1"/>
  <c r="O326" i="1"/>
  <c r="N325" i="1"/>
  <c r="M324" i="1"/>
  <c r="L323" i="1"/>
  <c r="K322" i="1"/>
  <c r="J321" i="1"/>
  <c r="I320" i="1"/>
  <c r="H319" i="1"/>
  <c r="G318" i="1"/>
  <c r="F317" i="1"/>
  <c r="E316" i="1"/>
  <c r="D315" i="1"/>
  <c r="C314" i="1"/>
  <c r="B313" i="1"/>
  <c r="P311" i="1"/>
  <c r="C311" i="1"/>
  <c r="M310" i="1"/>
  <c r="G310" i="1"/>
  <c r="B310" i="1"/>
  <c r="M309" i="1"/>
  <c r="I309" i="1"/>
  <c r="E309" i="1"/>
  <c r="P308" i="1"/>
  <c r="L308" i="1"/>
  <c r="H308" i="1"/>
  <c r="D308" i="1"/>
  <c r="O307" i="1"/>
  <c r="K307" i="1"/>
  <c r="G307" i="1"/>
  <c r="C307" i="1"/>
  <c r="N306" i="1"/>
  <c r="J306" i="1"/>
  <c r="F306" i="1"/>
  <c r="B306" i="1"/>
  <c r="M305" i="1"/>
  <c r="I305" i="1"/>
  <c r="E305" i="1"/>
  <c r="P304" i="1"/>
  <c r="L304" i="1"/>
  <c r="H304" i="1"/>
  <c r="D304" i="1"/>
  <c r="O303" i="1"/>
  <c r="K303" i="1"/>
  <c r="G303" i="1"/>
  <c r="C303" i="1"/>
  <c r="N302" i="1"/>
  <c r="J302" i="1"/>
  <c r="F302" i="1"/>
  <c r="B302" i="1"/>
  <c r="M301" i="1"/>
  <c r="I301" i="1"/>
  <c r="E301" i="1"/>
  <c r="P300" i="1"/>
  <c r="L300" i="1"/>
  <c r="H300" i="1"/>
  <c r="D300" i="1"/>
  <c r="O299" i="1"/>
  <c r="K299" i="1"/>
  <c r="G299" i="1"/>
  <c r="C299" i="1"/>
  <c r="N298" i="1"/>
  <c r="J298" i="1"/>
  <c r="F298" i="1"/>
  <c r="B298" i="1"/>
  <c r="M297" i="1"/>
  <c r="I297" i="1"/>
  <c r="E297" i="1"/>
  <c r="P296" i="1"/>
  <c r="L296" i="1"/>
  <c r="H296" i="1"/>
  <c r="D296" i="1"/>
  <c r="O295" i="1"/>
  <c r="K295" i="1"/>
  <c r="G295" i="1"/>
  <c r="C295" i="1"/>
  <c r="N294" i="1"/>
  <c r="J294" i="1"/>
  <c r="F294" i="1"/>
  <c r="B294" i="1"/>
  <c r="M293" i="1"/>
  <c r="I293" i="1"/>
  <c r="E293" i="1"/>
  <c r="P292" i="1"/>
  <c r="L292" i="1"/>
  <c r="H292" i="1"/>
  <c r="D292" i="1"/>
  <c r="O291" i="1"/>
  <c r="K291" i="1"/>
  <c r="G291" i="1"/>
  <c r="C291" i="1"/>
  <c r="N290" i="1"/>
  <c r="J290" i="1"/>
  <c r="F290" i="1"/>
  <c r="B290" i="1"/>
  <c r="M289" i="1"/>
  <c r="I289" i="1"/>
  <c r="E289" i="1"/>
  <c r="P288" i="1"/>
  <c r="L288" i="1"/>
  <c r="H288" i="1"/>
  <c r="D288" i="1"/>
  <c r="O287" i="1"/>
  <c r="K287" i="1"/>
  <c r="G287" i="1"/>
  <c r="C287" i="1"/>
  <c r="N286" i="1"/>
  <c r="J286" i="1"/>
  <c r="F286" i="1"/>
  <c r="B286" i="1"/>
  <c r="M285" i="1"/>
  <c r="I285" i="1"/>
  <c r="E285" i="1"/>
  <c r="P284" i="1"/>
  <c r="L284" i="1"/>
  <c r="H284" i="1"/>
  <c r="D284" i="1"/>
  <c r="O283" i="1"/>
  <c r="K283" i="1"/>
  <c r="G283" i="1"/>
  <c r="C283" i="1"/>
  <c r="N282" i="1"/>
  <c r="J282" i="1"/>
  <c r="F282" i="1"/>
  <c r="B282" i="1"/>
  <c r="M281" i="1"/>
  <c r="I281" i="1"/>
  <c r="E281" i="1"/>
  <c r="P280" i="1"/>
  <c r="L280" i="1"/>
  <c r="H280" i="1"/>
  <c r="D280" i="1"/>
  <c r="O279" i="1"/>
  <c r="K279" i="1"/>
  <c r="G279" i="1"/>
  <c r="C279" i="1"/>
  <c r="N278" i="1"/>
  <c r="J278" i="1"/>
  <c r="F278" i="1"/>
  <c r="B278" i="1"/>
  <c r="M277" i="1"/>
  <c r="I277" i="1"/>
  <c r="E277" i="1"/>
  <c r="P276" i="1"/>
  <c r="L276" i="1"/>
  <c r="H276" i="1"/>
  <c r="D276" i="1"/>
  <c r="O275" i="1"/>
  <c r="K275" i="1"/>
  <c r="G275" i="1"/>
  <c r="C275" i="1"/>
  <c r="N274" i="1"/>
  <c r="J274" i="1"/>
  <c r="F274" i="1"/>
  <c r="B274" i="1"/>
  <c r="M273" i="1"/>
  <c r="I273" i="1"/>
  <c r="E273" i="1"/>
  <c r="P272" i="1"/>
  <c r="L272" i="1"/>
  <c r="H272" i="1"/>
  <c r="D272" i="1"/>
  <c r="O271" i="1"/>
  <c r="K271" i="1"/>
  <c r="G271" i="1"/>
  <c r="C271" i="1"/>
  <c r="N270" i="1"/>
  <c r="J270" i="1"/>
  <c r="F270" i="1"/>
  <c r="B270" i="1"/>
  <c r="M269" i="1"/>
  <c r="I269" i="1"/>
  <c r="E269" i="1"/>
  <c r="P268" i="1"/>
  <c r="L268" i="1"/>
  <c r="H268" i="1"/>
  <c r="D268" i="1"/>
  <c r="O267" i="1"/>
  <c r="K267" i="1"/>
  <c r="G267" i="1"/>
  <c r="C267" i="1"/>
  <c r="N266" i="1"/>
  <c r="J266" i="1"/>
  <c r="F266" i="1"/>
  <c r="B266" i="1"/>
  <c r="M265" i="1"/>
  <c r="I265" i="1"/>
  <c r="E265" i="1"/>
  <c r="P264" i="1"/>
  <c r="L264" i="1"/>
  <c r="H264" i="1"/>
  <c r="D264" i="1"/>
  <c r="O263" i="1"/>
  <c r="K263" i="1"/>
  <c r="G263" i="1"/>
  <c r="C263" i="1"/>
  <c r="N262" i="1"/>
  <c r="J262" i="1"/>
  <c r="F262" i="1"/>
  <c r="B262" i="1"/>
  <c r="M261" i="1"/>
  <c r="I261" i="1"/>
  <c r="E261" i="1"/>
  <c r="P260" i="1"/>
  <c r="L260" i="1"/>
  <c r="H260" i="1"/>
  <c r="D260" i="1"/>
  <c r="O259" i="1"/>
  <c r="K259" i="1"/>
  <c r="G259" i="1"/>
  <c r="C259" i="1"/>
  <c r="N258" i="1"/>
  <c r="J258" i="1"/>
  <c r="H442" i="1"/>
  <c r="G408" i="1"/>
  <c r="F391" i="1"/>
  <c r="E374" i="1"/>
  <c r="E360" i="1"/>
  <c r="P355" i="1"/>
  <c r="L351" i="1"/>
  <c r="H347" i="1"/>
  <c r="D343" i="1"/>
  <c r="O338" i="1"/>
  <c r="K334" i="1"/>
  <c r="G330" i="1"/>
  <c r="C326" i="1"/>
  <c r="N321" i="1"/>
  <c r="J317" i="1"/>
  <c r="F313" i="1"/>
  <c r="I310" i="1"/>
  <c r="F309" i="1"/>
  <c r="E308" i="1"/>
  <c r="D307" i="1"/>
  <c r="C306" i="1"/>
  <c r="B305" i="1"/>
  <c r="P303" i="1"/>
  <c r="O302" i="1"/>
  <c r="N301" i="1"/>
  <c r="M300" i="1"/>
  <c r="L299" i="1"/>
  <c r="K298" i="1"/>
  <c r="J297" i="1"/>
  <c r="I296" i="1"/>
  <c r="H295" i="1"/>
  <c r="G294" i="1"/>
  <c r="F293" i="1"/>
  <c r="E292" i="1"/>
  <c r="D291" i="1"/>
  <c r="C290" i="1"/>
  <c r="B289" i="1"/>
  <c r="P287" i="1"/>
  <c r="O286" i="1"/>
  <c r="N285" i="1"/>
  <c r="M284" i="1"/>
  <c r="L283" i="1"/>
  <c r="K282" i="1"/>
  <c r="J281" i="1"/>
  <c r="I280" i="1"/>
  <c r="H279" i="1"/>
  <c r="G278" i="1"/>
  <c r="F277" i="1"/>
  <c r="E276" i="1"/>
  <c r="D275" i="1"/>
  <c r="C274" i="1"/>
  <c r="B273" i="1"/>
  <c r="P271" i="1"/>
  <c r="O270" i="1"/>
  <c r="N269" i="1"/>
  <c r="M268" i="1"/>
  <c r="L267" i="1"/>
  <c r="K266" i="1"/>
  <c r="J265" i="1"/>
  <c r="I264" i="1"/>
  <c r="H263" i="1"/>
  <c r="G262" i="1"/>
  <c r="F261" i="1"/>
  <c r="E260" i="1"/>
  <c r="H259" i="1"/>
  <c r="B259" i="1"/>
  <c r="L258" i="1"/>
  <c r="G258" i="1"/>
  <c r="C258" i="1"/>
  <c r="N257" i="1"/>
  <c r="J257" i="1"/>
  <c r="F257" i="1"/>
  <c r="B257" i="1"/>
  <c r="M256" i="1"/>
  <c r="I256" i="1"/>
  <c r="E256" i="1"/>
  <c r="P255" i="1"/>
  <c r="L255" i="1"/>
  <c r="H255" i="1"/>
  <c r="D255" i="1"/>
  <c r="O254" i="1"/>
  <c r="K254" i="1"/>
  <c r="G254" i="1"/>
  <c r="C254" i="1"/>
  <c r="N253" i="1"/>
  <c r="J253" i="1"/>
  <c r="F253" i="1"/>
  <c r="B253" i="1"/>
  <c r="M252" i="1"/>
  <c r="I252" i="1"/>
  <c r="E252" i="1"/>
  <c r="P251" i="1"/>
  <c r="L251" i="1"/>
  <c r="H251" i="1"/>
  <c r="D251" i="1"/>
  <c r="O250" i="1"/>
  <c r="K250" i="1"/>
  <c r="G250" i="1"/>
  <c r="C250" i="1"/>
  <c r="N249" i="1"/>
  <c r="J249" i="1"/>
  <c r="F249" i="1"/>
  <c r="B249" i="1"/>
  <c r="M248" i="1"/>
  <c r="I248" i="1"/>
  <c r="E248" i="1"/>
  <c r="P247" i="1"/>
  <c r="L247" i="1"/>
  <c r="H247" i="1"/>
  <c r="D247" i="1"/>
  <c r="O246" i="1"/>
  <c r="K246" i="1"/>
  <c r="G246" i="1"/>
  <c r="C246" i="1"/>
  <c r="N245" i="1"/>
  <c r="J245" i="1"/>
  <c r="F245" i="1"/>
  <c r="B245" i="1"/>
  <c r="M244" i="1"/>
  <c r="I244" i="1"/>
  <c r="E244" i="1"/>
  <c r="P243" i="1"/>
  <c r="L243" i="1"/>
  <c r="H243" i="1"/>
  <c r="D243" i="1"/>
  <c r="O242" i="1"/>
  <c r="K242" i="1"/>
  <c r="G242" i="1"/>
  <c r="C242" i="1"/>
  <c r="N241" i="1"/>
  <c r="J241" i="1"/>
  <c r="F241" i="1"/>
  <c r="B241" i="1"/>
  <c r="M240" i="1"/>
  <c r="I240" i="1"/>
  <c r="E240" i="1"/>
  <c r="P239" i="1"/>
  <c r="L239" i="1"/>
  <c r="H239" i="1"/>
  <c r="D239" i="1"/>
  <c r="O238" i="1"/>
  <c r="K238" i="1"/>
  <c r="G238" i="1"/>
  <c r="C238" i="1"/>
  <c r="N237" i="1"/>
  <c r="J237" i="1"/>
  <c r="F237" i="1"/>
  <c r="B237" i="1"/>
  <c r="M236" i="1"/>
  <c r="I236" i="1"/>
  <c r="E236" i="1"/>
  <c r="P235" i="1"/>
  <c r="L235" i="1"/>
  <c r="H235" i="1"/>
  <c r="D235" i="1"/>
  <c r="O234" i="1"/>
  <c r="K234" i="1"/>
  <c r="G234" i="1"/>
  <c r="C234" i="1"/>
  <c r="N233" i="1"/>
  <c r="J233" i="1"/>
  <c r="F233" i="1"/>
  <c r="B233" i="1"/>
  <c r="M232" i="1"/>
  <c r="I232" i="1"/>
  <c r="E232" i="1"/>
  <c r="P231" i="1"/>
  <c r="L231" i="1"/>
  <c r="H231" i="1"/>
  <c r="D231" i="1"/>
  <c r="O230" i="1"/>
  <c r="K230" i="1"/>
  <c r="G230" i="1"/>
  <c r="C230" i="1"/>
  <c r="N229" i="1"/>
  <c r="J229" i="1"/>
  <c r="F229" i="1"/>
  <c r="B229" i="1"/>
  <c r="M228" i="1"/>
  <c r="I228" i="1"/>
  <c r="E228" i="1"/>
  <c r="P227" i="1"/>
  <c r="L227" i="1"/>
  <c r="H227" i="1"/>
  <c r="D227" i="1"/>
  <c r="O226" i="1"/>
  <c r="K226" i="1"/>
  <c r="G226" i="1"/>
  <c r="C226" i="1"/>
  <c r="N225" i="1"/>
  <c r="J225" i="1"/>
  <c r="F225" i="1"/>
  <c r="B225" i="1"/>
  <c r="M224" i="1"/>
  <c r="I224" i="1"/>
  <c r="E224" i="1"/>
  <c r="P223" i="1"/>
  <c r="L223" i="1"/>
  <c r="H223" i="1"/>
  <c r="D223" i="1"/>
  <c r="O222" i="1"/>
  <c r="K222" i="1"/>
  <c r="G222" i="1"/>
  <c r="C222" i="1"/>
  <c r="N221" i="1"/>
  <c r="J221" i="1"/>
  <c r="F221" i="1"/>
  <c r="B221" i="1"/>
  <c r="M220" i="1"/>
  <c r="I220" i="1"/>
  <c r="E220" i="1"/>
  <c r="P219" i="1"/>
  <c r="L219" i="1"/>
  <c r="H219" i="1"/>
  <c r="D219" i="1"/>
  <c r="O218" i="1"/>
  <c r="K218" i="1"/>
  <c r="G218" i="1"/>
  <c r="C218" i="1"/>
  <c r="N217" i="1"/>
  <c r="J217" i="1"/>
  <c r="F217" i="1"/>
  <c r="B217" i="1"/>
  <c r="M216" i="1"/>
  <c r="I216" i="1"/>
  <c r="E216" i="1"/>
  <c r="P215" i="1"/>
  <c r="L215" i="1"/>
  <c r="H215" i="1"/>
  <c r="D215" i="1"/>
  <c r="O214" i="1"/>
  <c r="K214" i="1"/>
  <c r="G214" i="1"/>
  <c r="C214" i="1"/>
  <c r="N213" i="1"/>
  <c r="J213" i="1"/>
  <c r="F213" i="1"/>
  <c r="B213" i="1"/>
  <c r="M212" i="1"/>
  <c r="I212" i="1"/>
  <c r="E212" i="1"/>
  <c r="P211" i="1"/>
  <c r="L211" i="1"/>
  <c r="H211" i="1"/>
  <c r="D211" i="1"/>
  <c r="O210" i="1"/>
  <c r="K210" i="1"/>
  <c r="G210" i="1"/>
  <c r="C210" i="1"/>
  <c r="N209" i="1"/>
  <c r="J209" i="1"/>
  <c r="F209" i="1"/>
  <c r="B209" i="1"/>
  <c r="M208" i="1"/>
  <c r="I208" i="1"/>
  <c r="E208" i="1"/>
  <c r="P207" i="1"/>
  <c r="L207" i="1"/>
  <c r="H207" i="1"/>
  <c r="D207" i="1"/>
  <c r="O206" i="1"/>
  <c r="K206" i="1"/>
  <c r="G206" i="1"/>
  <c r="C206" i="1"/>
  <c r="N205" i="1"/>
  <c r="J205" i="1"/>
  <c r="F205" i="1"/>
  <c r="B205" i="1"/>
  <c r="M204" i="1"/>
  <c r="I204" i="1"/>
  <c r="E204" i="1"/>
  <c r="P203" i="1"/>
  <c r="L203" i="1"/>
  <c r="H203" i="1"/>
  <c r="D203" i="1"/>
  <c r="O202" i="1"/>
  <c r="K202" i="1"/>
  <c r="G202" i="1"/>
  <c r="C202" i="1"/>
  <c r="N201" i="1"/>
  <c r="J201" i="1"/>
  <c r="F201" i="1"/>
  <c r="B201" i="1"/>
  <c r="M200" i="1"/>
  <c r="I200" i="1"/>
  <c r="E200" i="1"/>
  <c r="P199" i="1"/>
  <c r="L199" i="1"/>
  <c r="H199" i="1"/>
  <c r="D199" i="1"/>
  <c r="O198" i="1"/>
  <c r="K198" i="1"/>
  <c r="G198" i="1"/>
  <c r="C198" i="1"/>
  <c r="N197" i="1"/>
  <c r="J197" i="1"/>
  <c r="F197" i="1"/>
  <c r="B197" i="1"/>
  <c r="M196" i="1"/>
  <c r="I196" i="1"/>
  <c r="E196" i="1"/>
  <c r="P195" i="1"/>
  <c r="L195" i="1"/>
  <c r="H195" i="1"/>
  <c r="D195" i="1"/>
  <c r="O194" i="1"/>
  <c r="K194" i="1"/>
  <c r="G194" i="1"/>
  <c r="C194" i="1"/>
  <c r="N193" i="1"/>
  <c r="J193" i="1"/>
  <c r="F193" i="1"/>
  <c r="B193" i="1"/>
  <c r="M192" i="1"/>
  <c r="I192" i="1"/>
  <c r="E192" i="1"/>
  <c r="P191" i="1"/>
  <c r="L191" i="1"/>
  <c r="H191" i="1"/>
  <c r="D191" i="1"/>
  <c r="O190" i="1"/>
  <c r="K190" i="1"/>
  <c r="G190" i="1"/>
  <c r="C190" i="1"/>
  <c r="N189" i="1"/>
  <c r="J189" i="1"/>
  <c r="F189" i="1"/>
  <c r="B189" i="1"/>
  <c r="M188" i="1"/>
  <c r="I188" i="1"/>
  <c r="E188" i="1"/>
  <c r="P187" i="1"/>
  <c r="L187" i="1"/>
  <c r="H187" i="1"/>
  <c r="D187" i="1"/>
  <c r="O186" i="1"/>
  <c r="K186" i="1"/>
  <c r="G186" i="1"/>
  <c r="C186" i="1"/>
  <c r="N185" i="1"/>
  <c r="J185" i="1"/>
  <c r="F185" i="1"/>
  <c r="B185" i="1"/>
  <c r="M184" i="1"/>
  <c r="I184" i="1"/>
  <c r="E184" i="1"/>
  <c r="P183" i="1"/>
  <c r="L183" i="1"/>
  <c r="H183" i="1"/>
  <c r="D183" i="1"/>
  <c r="O182" i="1"/>
  <c r="K182" i="1"/>
  <c r="G182" i="1"/>
  <c r="C182" i="1"/>
  <c r="N181" i="1"/>
  <c r="J181" i="1"/>
  <c r="F181" i="1"/>
  <c r="B181" i="1"/>
  <c r="M180" i="1"/>
  <c r="I180" i="1"/>
  <c r="E180" i="1"/>
  <c r="P179" i="1"/>
  <c r="L179" i="1"/>
  <c r="H179" i="1"/>
  <c r="D179" i="1"/>
  <c r="O178" i="1"/>
  <c r="K178" i="1"/>
  <c r="G178" i="1"/>
  <c r="C178" i="1"/>
  <c r="N177" i="1"/>
  <c r="J177" i="1"/>
  <c r="F177" i="1"/>
  <c r="B177" i="1"/>
  <c r="M176" i="1"/>
  <c r="I176" i="1"/>
  <c r="E176" i="1"/>
  <c r="P175" i="1"/>
  <c r="L175" i="1"/>
  <c r="H175" i="1"/>
  <c r="D175" i="1"/>
  <c r="O174" i="1"/>
  <c r="K174" i="1"/>
  <c r="G174" i="1"/>
  <c r="C174" i="1"/>
  <c r="N173" i="1"/>
  <c r="J173" i="1"/>
  <c r="F173" i="1"/>
  <c r="B173" i="1"/>
  <c r="M172" i="1"/>
  <c r="I172" i="1"/>
  <c r="E172" i="1"/>
  <c r="P171" i="1"/>
  <c r="L171" i="1"/>
  <c r="H171" i="1"/>
  <c r="D171" i="1"/>
  <c r="O170" i="1"/>
  <c r="K170" i="1"/>
  <c r="G170" i="1"/>
  <c r="C170" i="1"/>
  <c r="N169" i="1"/>
  <c r="J169" i="1"/>
  <c r="F169" i="1"/>
  <c r="B169" i="1"/>
  <c r="M168" i="1"/>
  <c r="I168" i="1"/>
  <c r="E168" i="1"/>
  <c r="P167" i="1"/>
  <c r="L167" i="1"/>
  <c r="H167" i="1"/>
  <c r="D167" i="1"/>
  <c r="O166" i="1"/>
  <c r="K166" i="1"/>
  <c r="G166" i="1"/>
  <c r="C166" i="1"/>
  <c r="N165" i="1"/>
  <c r="J165" i="1"/>
  <c r="F165" i="1"/>
  <c r="B165" i="1"/>
  <c r="M164" i="1"/>
  <c r="I164" i="1"/>
  <c r="E164" i="1"/>
  <c r="P163" i="1"/>
  <c r="L163" i="1"/>
  <c r="H163" i="1"/>
  <c r="D163" i="1"/>
  <c r="O162" i="1"/>
  <c r="K162" i="1"/>
  <c r="G162" i="1"/>
  <c r="C162" i="1"/>
  <c r="N161" i="1"/>
  <c r="J161" i="1"/>
  <c r="F161" i="1"/>
  <c r="B161" i="1"/>
  <c r="M160" i="1"/>
  <c r="I160" i="1"/>
  <c r="E160" i="1"/>
  <c r="P159" i="1"/>
  <c r="L159" i="1"/>
  <c r="H159" i="1"/>
  <c r="D159" i="1"/>
  <c r="O158" i="1"/>
  <c r="K158" i="1"/>
  <c r="G158" i="1"/>
  <c r="C158" i="1"/>
  <c r="N157" i="1"/>
  <c r="J157" i="1"/>
  <c r="F157" i="1"/>
  <c r="B157" i="1"/>
  <c r="M156" i="1"/>
  <c r="I156" i="1"/>
  <c r="E156" i="1"/>
  <c r="P155" i="1"/>
  <c r="L155" i="1"/>
  <c r="H155" i="1"/>
  <c r="D155" i="1"/>
  <c r="O154" i="1"/>
  <c r="K154" i="1"/>
  <c r="G154" i="1"/>
  <c r="C154" i="1"/>
  <c r="N153" i="1"/>
  <c r="J153" i="1"/>
  <c r="F153" i="1"/>
  <c r="B153" i="1"/>
  <c r="M152" i="1"/>
  <c r="I152" i="1"/>
  <c r="E152" i="1"/>
  <c r="P151" i="1"/>
  <c r="L151" i="1"/>
  <c r="H151" i="1"/>
  <c r="D151" i="1"/>
  <c r="O150" i="1"/>
  <c r="K150" i="1"/>
  <c r="G150" i="1"/>
  <c r="C150" i="1"/>
  <c r="N149" i="1"/>
  <c r="J149" i="1"/>
  <c r="F149" i="1"/>
  <c r="B149" i="1"/>
  <c r="M148" i="1"/>
  <c r="I148" i="1"/>
  <c r="E148" i="1"/>
  <c r="P147" i="1"/>
  <c r="L147" i="1"/>
  <c r="H147" i="1"/>
  <c r="D147" i="1"/>
  <c r="O146" i="1"/>
  <c r="K146" i="1"/>
  <c r="G146" i="1"/>
  <c r="C146" i="1"/>
  <c r="N145" i="1"/>
  <c r="J145" i="1"/>
  <c r="F145" i="1"/>
  <c r="B145" i="1"/>
  <c r="M144" i="1"/>
  <c r="I144" i="1"/>
  <c r="E144" i="1"/>
  <c r="P143" i="1"/>
  <c r="L143" i="1"/>
  <c r="H143" i="1"/>
  <c r="D143" i="1"/>
  <c r="O142" i="1"/>
  <c r="K142" i="1"/>
  <c r="G142" i="1"/>
  <c r="C142" i="1"/>
  <c r="N141" i="1"/>
  <c r="J141" i="1"/>
  <c r="F141" i="1"/>
  <c r="B141" i="1"/>
  <c r="G425" i="1"/>
  <c r="C404" i="1"/>
  <c r="B387" i="1"/>
  <c r="P369" i="1"/>
  <c r="D359" i="1"/>
  <c r="O354" i="1"/>
  <c r="K350" i="1"/>
  <c r="G346" i="1"/>
  <c r="C342" i="1"/>
  <c r="N337" i="1"/>
  <c r="J333" i="1"/>
  <c r="F329" i="1"/>
  <c r="B325" i="1"/>
  <c r="M320" i="1"/>
  <c r="I316" i="1"/>
  <c r="E312" i="1"/>
  <c r="C310" i="1"/>
  <c r="B309" i="1"/>
  <c r="P307" i="1"/>
  <c r="O306" i="1"/>
  <c r="N305" i="1"/>
  <c r="M304" i="1"/>
  <c r="L303" i="1"/>
  <c r="K302" i="1"/>
  <c r="J301" i="1"/>
  <c r="I300" i="1"/>
  <c r="H299" i="1"/>
  <c r="G298" i="1"/>
  <c r="F297" i="1"/>
  <c r="E296" i="1"/>
  <c r="D295" i="1"/>
  <c r="C294" i="1"/>
  <c r="B293" i="1"/>
  <c r="P291" i="1"/>
  <c r="O290" i="1"/>
  <c r="N289" i="1"/>
  <c r="M288" i="1"/>
  <c r="L287" i="1"/>
  <c r="K286" i="1"/>
  <c r="J285" i="1"/>
  <c r="I284" i="1"/>
  <c r="H283" i="1"/>
  <c r="G282" i="1"/>
  <c r="F281" i="1"/>
  <c r="E280" i="1"/>
  <c r="D279" i="1"/>
  <c r="C278" i="1"/>
  <c r="B277" i="1"/>
  <c r="P275" i="1"/>
  <c r="O274" i="1"/>
  <c r="N273" i="1"/>
  <c r="M272" i="1"/>
  <c r="L271" i="1"/>
  <c r="K270" i="1"/>
  <c r="J269" i="1"/>
  <c r="I268" i="1"/>
  <c r="H267" i="1"/>
  <c r="G266" i="1"/>
  <c r="F265" i="1"/>
  <c r="E264" i="1"/>
  <c r="D263" i="1"/>
  <c r="C262" i="1"/>
  <c r="B261" i="1"/>
  <c r="P259" i="1"/>
  <c r="F259" i="1"/>
  <c r="P258" i="1"/>
  <c r="K258" i="1"/>
  <c r="F258" i="1"/>
  <c r="B258" i="1"/>
  <c r="M257" i="1"/>
  <c r="I257" i="1"/>
  <c r="E257" i="1"/>
  <c r="P256" i="1"/>
  <c r="L256" i="1"/>
  <c r="H256" i="1"/>
  <c r="D256" i="1"/>
  <c r="O255" i="1"/>
  <c r="K255" i="1"/>
  <c r="G255" i="1"/>
  <c r="C255" i="1"/>
  <c r="N254" i="1"/>
  <c r="J254" i="1"/>
  <c r="F254" i="1"/>
  <c r="B254" i="1"/>
  <c r="M253" i="1"/>
  <c r="I253" i="1"/>
  <c r="E253" i="1"/>
  <c r="P252" i="1"/>
  <c r="L252" i="1"/>
  <c r="H252" i="1"/>
  <c r="D252" i="1"/>
  <c r="O251" i="1"/>
  <c r="K251" i="1"/>
  <c r="G251" i="1"/>
  <c r="C251" i="1"/>
  <c r="N250" i="1"/>
  <c r="J250" i="1"/>
  <c r="F250" i="1"/>
  <c r="B250" i="1"/>
  <c r="M249" i="1"/>
  <c r="I249" i="1"/>
  <c r="E249" i="1"/>
  <c r="P248" i="1"/>
  <c r="L248" i="1"/>
  <c r="H248" i="1"/>
  <c r="D248" i="1"/>
  <c r="O247" i="1"/>
  <c r="K247" i="1"/>
  <c r="G247" i="1"/>
  <c r="C247" i="1"/>
  <c r="N246" i="1"/>
  <c r="J246" i="1"/>
  <c r="F246" i="1"/>
  <c r="B246" i="1"/>
  <c r="M245" i="1"/>
  <c r="I245" i="1"/>
  <c r="E245" i="1"/>
  <c r="P244" i="1"/>
  <c r="L244" i="1"/>
  <c r="H244" i="1"/>
  <c r="D244" i="1"/>
  <c r="O243" i="1"/>
  <c r="K243" i="1"/>
  <c r="G243" i="1"/>
  <c r="C243" i="1"/>
  <c r="N242" i="1"/>
  <c r="J242" i="1"/>
  <c r="F242" i="1"/>
  <c r="B242" i="1"/>
  <c r="M241" i="1"/>
  <c r="I241" i="1"/>
  <c r="E241" i="1"/>
  <c r="P240" i="1"/>
  <c r="L240" i="1"/>
  <c r="H240" i="1"/>
  <c r="D240" i="1"/>
  <c r="O239" i="1"/>
  <c r="K239" i="1"/>
  <c r="G239" i="1"/>
  <c r="C239" i="1"/>
  <c r="N238" i="1"/>
  <c r="J238" i="1"/>
  <c r="F238" i="1"/>
  <c r="B238" i="1"/>
  <c r="M237" i="1"/>
  <c r="I237" i="1"/>
  <c r="E237" i="1"/>
  <c r="P236" i="1"/>
  <c r="L236" i="1"/>
  <c r="H236" i="1"/>
  <c r="D236" i="1"/>
  <c r="O235" i="1"/>
  <c r="K235" i="1"/>
  <c r="G235" i="1"/>
  <c r="C235" i="1"/>
  <c r="N234" i="1"/>
  <c r="J234" i="1"/>
  <c r="F234" i="1"/>
  <c r="B234" i="1"/>
  <c r="M233" i="1"/>
  <c r="I233" i="1"/>
  <c r="E233" i="1"/>
  <c r="P232" i="1"/>
  <c r="L232" i="1"/>
  <c r="H232" i="1"/>
  <c r="D232" i="1"/>
  <c r="O231" i="1"/>
  <c r="K231" i="1"/>
  <c r="G231" i="1"/>
  <c r="C231" i="1"/>
  <c r="N230" i="1"/>
  <c r="J230" i="1"/>
  <c r="F230" i="1"/>
  <c r="B230" i="1"/>
  <c r="M229" i="1"/>
  <c r="I229" i="1"/>
  <c r="E229" i="1"/>
  <c r="P228" i="1"/>
  <c r="L228" i="1"/>
  <c r="H228" i="1"/>
  <c r="D228" i="1"/>
  <c r="O227" i="1"/>
  <c r="K227" i="1"/>
  <c r="G227" i="1"/>
  <c r="C227" i="1"/>
  <c r="N226" i="1"/>
  <c r="J226" i="1"/>
  <c r="F226" i="1"/>
  <c r="B226" i="1"/>
  <c r="M225" i="1"/>
  <c r="I225" i="1"/>
  <c r="E225" i="1"/>
  <c r="P224" i="1"/>
  <c r="L224" i="1"/>
  <c r="H224" i="1"/>
  <c r="D224" i="1"/>
  <c r="O223" i="1"/>
  <c r="K223" i="1"/>
  <c r="G223" i="1"/>
  <c r="C223" i="1"/>
  <c r="N222" i="1"/>
  <c r="J222" i="1"/>
  <c r="F222" i="1"/>
  <c r="B222" i="1"/>
  <c r="M221" i="1"/>
  <c r="I221" i="1"/>
  <c r="E221" i="1"/>
  <c r="P220" i="1"/>
  <c r="L220" i="1"/>
  <c r="H220" i="1"/>
  <c r="D220" i="1"/>
  <c r="O219" i="1"/>
  <c r="K219" i="1"/>
  <c r="G219" i="1"/>
  <c r="C219" i="1"/>
  <c r="N218" i="1"/>
  <c r="J218" i="1"/>
  <c r="F218" i="1"/>
  <c r="B218" i="1"/>
  <c r="M217" i="1"/>
  <c r="I217" i="1"/>
  <c r="E217" i="1"/>
  <c r="P216" i="1"/>
  <c r="L216" i="1"/>
  <c r="H216" i="1"/>
  <c r="D216" i="1"/>
  <c r="O215" i="1"/>
  <c r="K215" i="1"/>
  <c r="G215" i="1"/>
  <c r="C215" i="1"/>
  <c r="N214" i="1"/>
  <c r="J214" i="1"/>
  <c r="F214" i="1"/>
  <c r="B214" i="1"/>
  <c r="M213" i="1"/>
  <c r="I213" i="1"/>
  <c r="E213" i="1"/>
  <c r="P212" i="1"/>
  <c r="L212" i="1"/>
  <c r="H212" i="1"/>
  <c r="D212" i="1"/>
  <c r="O211" i="1"/>
  <c r="K211" i="1"/>
  <c r="G211" i="1"/>
  <c r="C211" i="1"/>
  <c r="N210" i="1"/>
  <c r="J210" i="1"/>
  <c r="F210" i="1"/>
  <c r="B210" i="1"/>
  <c r="M209" i="1"/>
  <c r="I209" i="1"/>
  <c r="E209" i="1"/>
  <c r="P208" i="1"/>
  <c r="L208" i="1"/>
  <c r="H208" i="1"/>
  <c r="D208" i="1"/>
  <c r="O207" i="1"/>
  <c r="K207" i="1"/>
  <c r="G207" i="1"/>
  <c r="C207" i="1"/>
  <c r="N206" i="1"/>
  <c r="J206" i="1"/>
  <c r="F206" i="1"/>
  <c r="B206" i="1"/>
  <c r="M205" i="1"/>
  <c r="I205" i="1"/>
  <c r="E205" i="1"/>
  <c r="P204" i="1"/>
  <c r="L204" i="1"/>
  <c r="H204" i="1"/>
  <c r="D204" i="1"/>
  <c r="O203" i="1"/>
  <c r="K203" i="1"/>
  <c r="G203" i="1"/>
  <c r="C203" i="1"/>
  <c r="N202" i="1"/>
  <c r="J202" i="1"/>
  <c r="F202" i="1"/>
  <c r="B202" i="1"/>
  <c r="M201" i="1"/>
  <c r="I201" i="1"/>
  <c r="E201" i="1"/>
  <c r="P200" i="1"/>
  <c r="L200" i="1"/>
  <c r="H200" i="1"/>
  <c r="D200" i="1"/>
  <c r="O199" i="1"/>
  <c r="K199" i="1"/>
  <c r="G199" i="1"/>
  <c r="C199" i="1"/>
  <c r="N198" i="1"/>
  <c r="J198" i="1"/>
  <c r="F198" i="1"/>
  <c r="B198" i="1"/>
  <c r="M197" i="1"/>
  <c r="I197" i="1"/>
  <c r="E197" i="1"/>
  <c r="P196" i="1"/>
  <c r="L196" i="1"/>
  <c r="H196" i="1"/>
  <c r="D196" i="1"/>
  <c r="O195" i="1"/>
  <c r="K195" i="1"/>
  <c r="G195" i="1"/>
  <c r="C195" i="1"/>
  <c r="N194" i="1"/>
  <c r="J194" i="1"/>
  <c r="F194" i="1"/>
  <c r="B194" i="1"/>
  <c r="M193" i="1"/>
  <c r="I193" i="1"/>
  <c r="E193" i="1"/>
  <c r="P192" i="1"/>
  <c r="L192" i="1"/>
  <c r="H192" i="1"/>
  <c r="D192" i="1"/>
  <c r="O191" i="1"/>
  <c r="K191" i="1"/>
  <c r="G191" i="1"/>
  <c r="C191" i="1"/>
  <c r="N190" i="1"/>
  <c r="J190" i="1"/>
  <c r="F190" i="1"/>
  <c r="B190" i="1"/>
  <c r="M189" i="1"/>
  <c r="I189" i="1"/>
  <c r="E189" i="1"/>
  <c r="P188" i="1"/>
  <c r="L188" i="1"/>
  <c r="H188" i="1"/>
  <c r="D188" i="1"/>
  <c r="O187" i="1"/>
  <c r="K187" i="1"/>
  <c r="G187" i="1"/>
  <c r="C187" i="1"/>
  <c r="N186" i="1"/>
  <c r="J186" i="1"/>
  <c r="F186" i="1"/>
  <c r="B186" i="1"/>
  <c r="M185" i="1"/>
  <c r="I185" i="1"/>
  <c r="E185" i="1"/>
  <c r="P184" i="1"/>
  <c r="L184" i="1"/>
  <c r="H184" i="1"/>
  <c r="D184" i="1"/>
  <c r="O183" i="1"/>
  <c r="K183" i="1"/>
  <c r="G183" i="1"/>
  <c r="C183" i="1"/>
  <c r="N182" i="1"/>
  <c r="J182" i="1"/>
  <c r="F182" i="1"/>
  <c r="B182" i="1"/>
  <c r="M181" i="1"/>
  <c r="I181" i="1"/>
  <c r="E181" i="1"/>
  <c r="P180" i="1"/>
  <c r="L180" i="1"/>
  <c r="H180" i="1"/>
  <c r="D180" i="1"/>
  <c r="O179" i="1"/>
  <c r="K179" i="1"/>
  <c r="G179" i="1"/>
  <c r="C179" i="1"/>
  <c r="N178" i="1"/>
  <c r="J178" i="1"/>
  <c r="F178" i="1"/>
  <c r="B178" i="1"/>
  <c r="M177" i="1"/>
  <c r="I177" i="1"/>
  <c r="E177" i="1"/>
  <c r="P176" i="1"/>
  <c r="L176" i="1"/>
  <c r="H176" i="1"/>
  <c r="D176" i="1"/>
  <c r="O175" i="1"/>
  <c r="K175" i="1"/>
  <c r="G175" i="1"/>
  <c r="C175" i="1"/>
  <c r="N174" i="1"/>
  <c r="J174" i="1"/>
  <c r="F174" i="1"/>
  <c r="B174" i="1"/>
  <c r="M173" i="1"/>
  <c r="I173" i="1"/>
  <c r="E173" i="1"/>
  <c r="P172" i="1"/>
  <c r="L172" i="1"/>
  <c r="H172" i="1"/>
  <c r="D172" i="1"/>
  <c r="O171" i="1"/>
  <c r="K171" i="1"/>
  <c r="G171" i="1"/>
  <c r="C171" i="1"/>
  <c r="N170" i="1"/>
  <c r="J170" i="1"/>
  <c r="F170" i="1"/>
  <c r="B170" i="1"/>
  <c r="M169" i="1"/>
  <c r="I169" i="1"/>
  <c r="E169" i="1"/>
  <c r="P168" i="1"/>
  <c r="L168" i="1"/>
  <c r="H168" i="1"/>
  <c r="D168" i="1"/>
  <c r="O167" i="1"/>
  <c r="K167" i="1"/>
  <c r="G167" i="1"/>
  <c r="C167" i="1"/>
  <c r="N166" i="1"/>
  <c r="J166" i="1"/>
  <c r="F166" i="1"/>
  <c r="B166" i="1"/>
  <c r="M165" i="1"/>
  <c r="I165" i="1"/>
  <c r="E165" i="1"/>
  <c r="P164" i="1"/>
  <c r="L164" i="1"/>
  <c r="H164" i="1"/>
  <c r="D164" i="1"/>
  <c r="O163" i="1"/>
  <c r="K163" i="1"/>
  <c r="G163" i="1"/>
  <c r="C163" i="1"/>
  <c r="N162" i="1"/>
  <c r="J162" i="1"/>
  <c r="F162" i="1"/>
  <c r="B162" i="1"/>
  <c r="M161" i="1"/>
  <c r="I161" i="1"/>
  <c r="E161" i="1"/>
  <c r="P160" i="1"/>
  <c r="L160" i="1"/>
  <c r="H160" i="1"/>
  <c r="D160" i="1"/>
  <c r="O159" i="1"/>
  <c r="K159" i="1"/>
  <c r="G159" i="1"/>
  <c r="C159" i="1"/>
  <c r="N158" i="1"/>
  <c r="J158" i="1"/>
  <c r="F158" i="1"/>
  <c r="B158" i="1"/>
  <c r="M157" i="1"/>
  <c r="I157" i="1"/>
  <c r="E157" i="1"/>
  <c r="P156" i="1"/>
  <c r="L156" i="1"/>
  <c r="H156" i="1"/>
  <c r="D156" i="1"/>
  <c r="O155" i="1"/>
  <c r="K155" i="1"/>
  <c r="G155" i="1"/>
  <c r="C155" i="1"/>
  <c r="N154" i="1"/>
  <c r="J154" i="1"/>
  <c r="F154" i="1"/>
  <c r="B154" i="1"/>
  <c r="M153" i="1"/>
  <c r="I153" i="1"/>
  <c r="E153" i="1"/>
  <c r="P152" i="1"/>
  <c r="L152" i="1"/>
  <c r="H152" i="1"/>
  <c r="D152" i="1"/>
  <c r="O151" i="1"/>
  <c r="K151" i="1"/>
  <c r="G151" i="1"/>
  <c r="C151" i="1"/>
  <c r="N150" i="1"/>
  <c r="J150" i="1"/>
  <c r="F150" i="1"/>
  <c r="B150" i="1"/>
  <c r="M149" i="1"/>
  <c r="I149" i="1"/>
  <c r="E149" i="1"/>
  <c r="P148" i="1"/>
  <c r="L148" i="1"/>
  <c r="H148" i="1"/>
  <c r="D148" i="1"/>
  <c r="O147" i="1"/>
  <c r="K147" i="1"/>
  <c r="G147" i="1"/>
  <c r="C147" i="1"/>
  <c r="N146" i="1"/>
  <c r="J146" i="1"/>
  <c r="F146" i="1"/>
  <c r="B146" i="1"/>
  <c r="M145" i="1"/>
  <c r="I145" i="1"/>
  <c r="E145" i="1"/>
  <c r="P144" i="1"/>
  <c r="L144" i="1"/>
  <c r="H144" i="1"/>
  <c r="D144" i="1"/>
  <c r="O143" i="1"/>
  <c r="K143" i="1"/>
  <c r="G143" i="1"/>
  <c r="C143" i="1"/>
  <c r="N142" i="1"/>
  <c r="J142" i="1"/>
  <c r="F142" i="1"/>
  <c r="B142" i="1"/>
  <c r="M141" i="1"/>
  <c r="I141" i="1"/>
  <c r="E141" i="1"/>
  <c r="P140" i="1"/>
  <c r="L140" i="1"/>
  <c r="H140" i="1"/>
  <c r="D140" i="1"/>
  <c r="K412" i="1"/>
  <c r="J395" i="1"/>
  <c r="I378" i="1"/>
  <c r="L361" i="1"/>
  <c r="B357" i="1"/>
  <c r="M352" i="1"/>
  <c r="I348" i="1"/>
  <c r="E344" i="1"/>
  <c r="P339" i="1"/>
  <c r="L335" i="1"/>
  <c r="H331" i="1"/>
  <c r="D327" i="1"/>
  <c r="O322" i="1"/>
  <c r="K318" i="1"/>
  <c r="G314" i="1"/>
  <c r="N310" i="1"/>
  <c r="J309" i="1"/>
  <c r="I308" i="1"/>
  <c r="H307" i="1"/>
  <c r="G306" i="1"/>
  <c r="F305" i="1"/>
  <c r="E304" i="1"/>
  <c r="D303" i="1"/>
  <c r="C302" i="1"/>
  <c r="B301" i="1"/>
  <c r="P299" i="1"/>
  <c r="O298" i="1"/>
  <c r="N297" i="1"/>
  <c r="M296" i="1"/>
  <c r="L295" i="1"/>
  <c r="K294" i="1"/>
  <c r="J293" i="1"/>
  <c r="I292" i="1"/>
  <c r="H291" i="1"/>
  <c r="G290" i="1"/>
  <c r="F289" i="1"/>
  <c r="E288" i="1"/>
  <c r="D287" i="1"/>
  <c r="C286" i="1"/>
  <c r="B285" i="1"/>
  <c r="P283" i="1"/>
  <c r="O282" i="1"/>
  <c r="N281" i="1"/>
  <c r="M280" i="1"/>
  <c r="L279" i="1"/>
  <c r="K278" i="1"/>
  <c r="J277" i="1"/>
  <c r="I276" i="1"/>
  <c r="H275" i="1"/>
  <c r="G274" i="1"/>
  <c r="F273" i="1"/>
  <c r="E272" i="1"/>
  <c r="D271" i="1"/>
  <c r="C270" i="1"/>
  <c r="B269" i="1"/>
  <c r="P267" i="1"/>
  <c r="O266" i="1"/>
  <c r="N265" i="1"/>
  <c r="M264" i="1"/>
  <c r="L263" i="1"/>
  <c r="K262" i="1"/>
  <c r="J261" i="1"/>
  <c r="I260" i="1"/>
  <c r="J259" i="1"/>
  <c r="D259" i="1"/>
  <c r="M258" i="1"/>
  <c r="H258" i="1"/>
  <c r="D258" i="1"/>
  <c r="O257" i="1"/>
  <c r="K257" i="1"/>
  <c r="G257" i="1"/>
  <c r="C257" i="1"/>
  <c r="N256" i="1"/>
  <c r="J256" i="1"/>
  <c r="F256" i="1"/>
  <c r="B256" i="1"/>
  <c r="M255" i="1"/>
  <c r="I255" i="1"/>
  <c r="E255" i="1"/>
  <c r="P254" i="1"/>
  <c r="L254" i="1"/>
  <c r="H254" i="1"/>
  <c r="D254" i="1"/>
  <c r="O253" i="1"/>
  <c r="K253" i="1"/>
  <c r="G253" i="1"/>
  <c r="C253" i="1"/>
  <c r="N252" i="1"/>
  <c r="J252" i="1"/>
  <c r="F252" i="1"/>
  <c r="B252" i="1"/>
  <c r="M251" i="1"/>
  <c r="I251" i="1"/>
  <c r="E251" i="1"/>
  <c r="P250" i="1"/>
  <c r="L250" i="1"/>
  <c r="H250" i="1"/>
  <c r="D250" i="1"/>
  <c r="O249" i="1"/>
  <c r="K249" i="1"/>
  <c r="G249" i="1"/>
  <c r="C249" i="1"/>
  <c r="N248" i="1"/>
  <c r="J248" i="1"/>
  <c r="F248" i="1"/>
  <c r="B248" i="1"/>
  <c r="M247" i="1"/>
  <c r="I247" i="1"/>
  <c r="E247" i="1"/>
  <c r="P246" i="1"/>
  <c r="L246" i="1"/>
  <c r="H246" i="1"/>
  <c r="D246" i="1"/>
  <c r="O245" i="1"/>
  <c r="K245" i="1"/>
  <c r="G245" i="1"/>
  <c r="C245" i="1"/>
  <c r="N244" i="1"/>
  <c r="J244" i="1"/>
  <c r="F244" i="1"/>
  <c r="B244" i="1"/>
  <c r="M243" i="1"/>
  <c r="I243" i="1"/>
  <c r="E243" i="1"/>
  <c r="P242" i="1"/>
  <c r="L242" i="1"/>
  <c r="H242" i="1"/>
  <c r="D242" i="1"/>
  <c r="O241" i="1"/>
  <c r="K241" i="1"/>
  <c r="G241" i="1"/>
  <c r="C241" i="1"/>
  <c r="N240" i="1"/>
  <c r="J240" i="1"/>
  <c r="F240" i="1"/>
  <c r="B240" i="1"/>
  <c r="M239" i="1"/>
  <c r="I239" i="1"/>
  <c r="E239" i="1"/>
  <c r="P238" i="1"/>
  <c r="L238" i="1"/>
  <c r="H238" i="1"/>
  <c r="D238" i="1"/>
  <c r="O237" i="1"/>
  <c r="K237" i="1"/>
  <c r="G237" i="1"/>
  <c r="C237" i="1"/>
  <c r="N236" i="1"/>
  <c r="J236" i="1"/>
  <c r="F236" i="1"/>
  <c r="B236" i="1"/>
  <c r="M235" i="1"/>
  <c r="I235" i="1"/>
  <c r="E235" i="1"/>
  <c r="P234" i="1"/>
  <c r="L234" i="1"/>
  <c r="H234" i="1"/>
  <c r="D234" i="1"/>
  <c r="O233" i="1"/>
  <c r="K233" i="1"/>
  <c r="G233" i="1"/>
  <c r="C233" i="1"/>
  <c r="N232" i="1"/>
  <c r="J232" i="1"/>
  <c r="F232" i="1"/>
  <c r="B232" i="1"/>
  <c r="M231" i="1"/>
  <c r="I231" i="1"/>
  <c r="E231" i="1"/>
  <c r="P230" i="1"/>
  <c r="L230" i="1"/>
  <c r="H230" i="1"/>
  <c r="D230" i="1"/>
  <c r="O229" i="1"/>
  <c r="K229" i="1"/>
  <c r="G229" i="1"/>
  <c r="C229" i="1"/>
  <c r="N228" i="1"/>
  <c r="J228" i="1"/>
  <c r="F228" i="1"/>
  <c r="B228" i="1"/>
  <c r="M227" i="1"/>
  <c r="I227" i="1"/>
  <c r="E227" i="1"/>
  <c r="P226" i="1"/>
  <c r="L226" i="1"/>
  <c r="H226" i="1"/>
  <c r="D226" i="1"/>
  <c r="O225" i="1"/>
  <c r="K225" i="1"/>
  <c r="G225" i="1"/>
  <c r="C225" i="1"/>
  <c r="N224" i="1"/>
  <c r="J224" i="1"/>
  <c r="F224" i="1"/>
  <c r="B224" i="1"/>
  <c r="M223" i="1"/>
  <c r="I223" i="1"/>
  <c r="E223" i="1"/>
  <c r="P222" i="1"/>
  <c r="L222" i="1"/>
  <c r="H222" i="1"/>
  <c r="D222" i="1"/>
  <c r="O221" i="1"/>
  <c r="K221" i="1"/>
  <c r="G221" i="1"/>
  <c r="C221" i="1"/>
  <c r="N220" i="1"/>
  <c r="J220" i="1"/>
  <c r="F220" i="1"/>
  <c r="B220" i="1"/>
  <c r="M219" i="1"/>
  <c r="I219" i="1"/>
  <c r="E219" i="1"/>
  <c r="P218" i="1"/>
  <c r="L218" i="1"/>
  <c r="H218" i="1"/>
  <c r="D218" i="1"/>
  <c r="O217" i="1"/>
  <c r="K217" i="1"/>
  <c r="G217" i="1"/>
  <c r="C217" i="1"/>
  <c r="N216" i="1"/>
  <c r="J216" i="1"/>
  <c r="F216" i="1"/>
  <c r="B216" i="1"/>
  <c r="M215" i="1"/>
  <c r="I215" i="1"/>
  <c r="E215" i="1"/>
  <c r="P214" i="1"/>
  <c r="L214" i="1"/>
  <c r="H214" i="1"/>
  <c r="D214" i="1"/>
  <c r="O213" i="1"/>
  <c r="K213" i="1"/>
  <c r="G213" i="1"/>
  <c r="C213" i="1"/>
  <c r="N212" i="1"/>
  <c r="J212" i="1"/>
  <c r="F212" i="1"/>
  <c r="B212" i="1"/>
  <c r="M211" i="1"/>
  <c r="I211" i="1"/>
  <c r="E211" i="1"/>
  <c r="P210" i="1"/>
  <c r="L210" i="1"/>
  <c r="H210" i="1"/>
  <c r="D210" i="1"/>
  <c r="O209" i="1"/>
  <c r="K209" i="1"/>
  <c r="G209" i="1"/>
  <c r="C209" i="1"/>
  <c r="N208" i="1"/>
  <c r="J208" i="1"/>
  <c r="F208" i="1"/>
  <c r="B208" i="1"/>
  <c r="M207" i="1"/>
  <c r="I207" i="1"/>
  <c r="E207" i="1"/>
  <c r="P206" i="1"/>
  <c r="L206" i="1"/>
  <c r="H206" i="1"/>
  <c r="D206" i="1"/>
  <c r="O205" i="1"/>
  <c r="K205" i="1"/>
  <c r="G205" i="1"/>
  <c r="C205" i="1"/>
  <c r="N204" i="1"/>
  <c r="J204" i="1"/>
  <c r="F204" i="1"/>
  <c r="B204" i="1"/>
  <c r="M203" i="1"/>
  <c r="I203" i="1"/>
  <c r="E203" i="1"/>
  <c r="P202" i="1"/>
  <c r="L202" i="1"/>
  <c r="H202" i="1"/>
  <c r="D202" i="1"/>
  <c r="O201" i="1"/>
  <c r="K201" i="1"/>
  <c r="G201" i="1"/>
  <c r="C201" i="1"/>
  <c r="N200" i="1"/>
  <c r="J200" i="1"/>
  <c r="F200" i="1"/>
  <c r="B200" i="1"/>
  <c r="M199" i="1"/>
  <c r="I199" i="1"/>
  <c r="E199" i="1"/>
  <c r="P198" i="1"/>
  <c r="L198" i="1"/>
  <c r="H198" i="1"/>
  <c r="D198" i="1"/>
  <c r="O197" i="1"/>
  <c r="K197" i="1"/>
  <c r="G197" i="1"/>
  <c r="C197" i="1"/>
  <c r="N196" i="1"/>
  <c r="J196" i="1"/>
  <c r="F196" i="1"/>
  <c r="B196" i="1"/>
  <c r="M195" i="1"/>
  <c r="I195" i="1"/>
  <c r="E195" i="1"/>
  <c r="P194" i="1"/>
  <c r="L194" i="1"/>
  <c r="H194" i="1"/>
  <c r="D194" i="1"/>
  <c r="O193" i="1"/>
  <c r="K193" i="1"/>
  <c r="G193" i="1"/>
  <c r="C193" i="1"/>
  <c r="N192" i="1"/>
  <c r="J192" i="1"/>
  <c r="F192" i="1"/>
  <c r="B192" i="1"/>
  <c r="M191" i="1"/>
  <c r="I191" i="1"/>
  <c r="E191" i="1"/>
  <c r="P190" i="1"/>
  <c r="L190" i="1"/>
  <c r="H190" i="1"/>
  <c r="D190" i="1"/>
  <c r="O189" i="1"/>
  <c r="K189" i="1"/>
  <c r="G189" i="1"/>
  <c r="C189" i="1"/>
  <c r="N188" i="1"/>
  <c r="J188" i="1"/>
  <c r="F188" i="1"/>
  <c r="B188" i="1"/>
  <c r="M187" i="1"/>
  <c r="I187" i="1"/>
  <c r="E187" i="1"/>
  <c r="P186" i="1"/>
  <c r="L186" i="1"/>
  <c r="H186" i="1"/>
  <c r="D186" i="1"/>
  <c r="O185" i="1"/>
  <c r="K185" i="1"/>
  <c r="G185" i="1"/>
  <c r="C185" i="1"/>
  <c r="N184" i="1"/>
  <c r="J184" i="1"/>
  <c r="F184" i="1"/>
  <c r="B184" i="1"/>
  <c r="M183" i="1"/>
  <c r="I183" i="1"/>
  <c r="E183" i="1"/>
  <c r="P182" i="1"/>
  <c r="L182" i="1"/>
  <c r="H182" i="1"/>
  <c r="D182" i="1"/>
  <c r="O181" i="1"/>
  <c r="K181" i="1"/>
  <c r="G181" i="1"/>
  <c r="C181" i="1"/>
  <c r="N180" i="1"/>
  <c r="J180" i="1"/>
  <c r="F180" i="1"/>
  <c r="B180" i="1"/>
  <c r="M179" i="1"/>
  <c r="I179" i="1"/>
  <c r="E179" i="1"/>
  <c r="P178" i="1"/>
  <c r="L178" i="1"/>
  <c r="H178" i="1"/>
  <c r="D178" i="1"/>
  <c r="O177" i="1"/>
  <c r="K177" i="1"/>
  <c r="G177" i="1"/>
  <c r="C177" i="1"/>
  <c r="N176" i="1"/>
  <c r="J176" i="1"/>
  <c r="F176" i="1"/>
  <c r="B176" i="1"/>
  <c r="M175" i="1"/>
  <c r="I175" i="1"/>
  <c r="E175" i="1"/>
  <c r="P174" i="1"/>
  <c r="L174" i="1"/>
  <c r="H174" i="1"/>
  <c r="D174" i="1"/>
  <c r="O173" i="1"/>
  <c r="K173" i="1"/>
  <c r="G173" i="1"/>
  <c r="C173" i="1"/>
  <c r="N172" i="1"/>
  <c r="J172" i="1"/>
  <c r="F172" i="1"/>
  <c r="B172" i="1"/>
  <c r="M171" i="1"/>
  <c r="I171" i="1"/>
  <c r="E171" i="1"/>
  <c r="P170" i="1"/>
  <c r="L170" i="1"/>
  <c r="H170" i="1"/>
  <c r="D170" i="1"/>
  <c r="O169" i="1"/>
  <c r="K169" i="1"/>
  <c r="G169" i="1"/>
  <c r="C169" i="1"/>
  <c r="N168" i="1"/>
  <c r="J168" i="1"/>
  <c r="F168" i="1"/>
  <c r="B168" i="1"/>
  <c r="M167" i="1"/>
  <c r="I167" i="1"/>
  <c r="E167" i="1"/>
  <c r="P166" i="1"/>
  <c r="L166" i="1"/>
  <c r="H166" i="1"/>
  <c r="D166" i="1"/>
  <c r="O165" i="1"/>
  <c r="K165" i="1"/>
  <c r="G165" i="1"/>
  <c r="C165" i="1"/>
  <c r="N164" i="1"/>
  <c r="J164" i="1"/>
  <c r="F164" i="1"/>
  <c r="B164" i="1"/>
  <c r="M163" i="1"/>
  <c r="I163" i="1"/>
  <c r="E163" i="1"/>
  <c r="P162" i="1"/>
  <c r="L162" i="1"/>
  <c r="H162" i="1"/>
  <c r="D162" i="1"/>
  <c r="O161" i="1"/>
  <c r="K161" i="1"/>
  <c r="G161" i="1"/>
  <c r="C161" i="1"/>
  <c r="N160" i="1"/>
  <c r="J160" i="1"/>
  <c r="F160" i="1"/>
  <c r="B160" i="1"/>
  <c r="M159" i="1"/>
  <c r="I159" i="1"/>
  <c r="E159" i="1"/>
  <c r="P158" i="1"/>
  <c r="L158" i="1"/>
  <c r="H158" i="1"/>
  <c r="D158" i="1"/>
  <c r="O157" i="1"/>
  <c r="K157" i="1"/>
  <c r="G157" i="1"/>
  <c r="C157" i="1"/>
  <c r="N156" i="1"/>
  <c r="J156" i="1"/>
  <c r="F156" i="1"/>
  <c r="B156" i="1"/>
  <c r="M155" i="1"/>
  <c r="I155" i="1"/>
  <c r="E155" i="1"/>
  <c r="P154" i="1"/>
  <c r="L154" i="1"/>
  <c r="H154" i="1"/>
  <c r="D154" i="1"/>
  <c r="O153" i="1"/>
  <c r="K153" i="1"/>
  <c r="G153" i="1"/>
  <c r="C153" i="1"/>
  <c r="N152" i="1"/>
  <c r="J152" i="1"/>
  <c r="F152" i="1"/>
  <c r="B152" i="1"/>
  <c r="M151" i="1"/>
  <c r="I151" i="1"/>
  <c r="E151" i="1"/>
  <c r="P150" i="1"/>
  <c r="L150" i="1"/>
  <c r="H150" i="1"/>
  <c r="D150" i="1"/>
  <c r="O149" i="1"/>
  <c r="K149" i="1"/>
  <c r="G149" i="1"/>
  <c r="C149" i="1"/>
  <c r="N148" i="1"/>
  <c r="J148" i="1"/>
  <c r="F148" i="1"/>
  <c r="B148" i="1"/>
  <c r="M147" i="1"/>
  <c r="I147" i="1"/>
  <c r="E147" i="1"/>
  <c r="P146" i="1"/>
  <c r="L146" i="1"/>
  <c r="H146" i="1"/>
  <c r="D146" i="1"/>
  <c r="O145" i="1"/>
  <c r="K145" i="1"/>
  <c r="G145" i="1"/>
  <c r="C145" i="1"/>
  <c r="N144" i="1"/>
  <c r="J144" i="1"/>
  <c r="F144" i="1"/>
  <c r="B144" i="1"/>
  <c r="M143" i="1"/>
  <c r="I143" i="1"/>
  <c r="E143" i="1"/>
  <c r="P142" i="1"/>
  <c r="L142" i="1"/>
  <c r="H142" i="1"/>
  <c r="D142" i="1"/>
  <c r="O141" i="1"/>
  <c r="K141" i="1"/>
  <c r="G141" i="1"/>
  <c r="C141" i="1"/>
  <c r="N140" i="1"/>
  <c r="O416" i="1"/>
  <c r="C358" i="1"/>
  <c r="B341" i="1"/>
  <c r="P323" i="1"/>
  <c r="N309" i="1"/>
  <c r="J305" i="1"/>
  <c r="F301" i="1"/>
  <c r="B297" i="1"/>
  <c r="M292" i="1"/>
  <c r="I288" i="1"/>
  <c r="E284" i="1"/>
  <c r="P279" i="1"/>
  <c r="L275" i="1"/>
  <c r="H271" i="1"/>
  <c r="D267" i="1"/>
  <c r="O262" i="1"/>
  <c r="E259" i="1"/>
  <c r="P257" i="1"/>
  <c r="O256" i="1"/>
  <c r="N255" i="1"/>
  <c r="M254" i="1"/>
  <c r="L253" i="1"/>
  <c r="K252" i="1"/>
  <c r="J251" i="1"/>
  <c r="I250" i="1"/>
  <c r="H249" i="1"/>
  <c r="G248" i="1"/>
  <c r="F247" i="1"/>
  <c r="E246" i="1"/>
  <c r="D245" i="1"/>
  <c r="C244" i="1"/>
  <c r="B243" i="1"/>
  <c r="P241" i="1"/>
  <c r="O240" i="1"/>
  <c r="N239" i="1"/>
  <c r="M238" i="1"/>
  <c r="L237" i="1"/>
  <c r="K236" i="1"/>
  <c r="J235" i="1"/>
  <c r="I234" i="1"/>
  <c r="H233" i="1"/>
  <c r="G232" i="1"/>
  <c r="F231" i="1"/>
  <c r="E230" i="1"/>
  <c r="D229" i="1"/>
  <c r="C228" i="1"/>
  <c r="B227" i="1"/>
  <c r="P225" i="1"/>
  <c r="O224" i="1"/>
  <c r="N223" i="1"/>
  <c r="M222" i="1"/>
  <c r="L221" i="1"/>
  <c r="K220" i="1"/>
  <c r="J219" i="1"/>
  <c r="I218" i="1"/>
  <c r="H217" i="1"/>
  <c r="G216" i="1"/>
  <c r="F215" i="1"/>
  <c r="E214" i="1"/>
  <c r="D213" i="1"/>
  <c r="C212" i="1"/>
  <c r="B211" i="1"/>
  <c r="P209" i="1"/>
  <c r="O208" i="1"/>
  <c r="N207" i="1"/>
  <c r="M206" i="1"/>
  <c r="L205" i="1"/>
  <c r="K204" i="1"/>
  <c r="J203" i="1"/>
  <c r="I202" i="1"/>
  <c r="H201" i="1"/>
  <c r="G200" i="1"/>
  <c r="F199" i="1"/>
  <c r="E198" i="1"/>
  <c r="D197" i="1"/>
  <c r="C196" i="1"/>
  <c r="B195" i="1"/>
  <c r="P193" i="1"/>
  <c r="O192" i="1"/>
  <c r="N191" i="1"/>
  <c r="M190" i="1"/>
  <c r="L189" i="1"/>
  <c r="K188" i="1"/>
  <c r="J187" i="1"/>
  <c r="I186" i="1"/>
  <c r="H185" i="1"/>
  <c r="G184" i="1"/>
  <c r="F183" i="1"/>
  <c r="E182" i="1"/>
  <c r="D181" i="1"/>
  <c r="C180" i="1"/>
  <c r="B179" i="1"/>
  <c r="P177" i="1"/>
  <c r="O176" i="1"/>
  <c r="N175" i="1"/>
  <c r="M174" i="1"/>
  <c r="L173" i="1"/>
  <c r="K172" i="1"/>
  <c r="J171" i="1"/>
  <c r="I170" i="1"/>
  <c r="H169" i="1"/>
  <c r="G168" i="1"/>
  <c r="F167" i="1"/>
  <c r="E166" i="1"/>
  <c r="D165" i="1"/>
  <c r="C164" i="1"/>
  <c r="B163" i="1"/>
  <c r="P161" i="1"/>
  <c r="O160" i="1"/>
  <c r="N159" i="1"/>
  <c r="M158" i="1"/>
  <c r="L157" i="1"/>
  <c r="K156" i="1"/>
  <c r="J155" i="1"/>
  <c r="I154" i="1"/>
  <c r="H153" i="1"/>
  <c r="G152" i="1"/>
  <c r="F151" i="1"/>
  <c r="E150" i="1"/>
  <c r="D149" i="1"/>
  <c r="C148" i="1"/>
  <c r="B147" i="1"/>
  <c r="P145" i="1"/>
  <c r="O144" i="1"/>
  <c r="N143" i="1"/>
  <c r="M142" i="1"/>
  <c r="L141" i="1"/>
  <c r="M140" i="1"/>
  <c r="G140" i="1"/>
  <c r="B140" i="1"/>
  <c r="M139" i="1"/>
  <c r="I139" i="1"/>
  <c r="E139" i="1"/>
  <c r="P138" i="1"/>
  <c r="L138" i="1"/>
  <c r="H138" i="1"/>
  <c r="D138" i="1"/>
  <c r="O137" i="1"/>
  <c r="K137" i="1"/>
  <c r="G137" i="1"/>
  <c r="C137" i="1"/>
  <c r="N136" i="1"/>
  <c r="J136" i="1"/>
  <c r="F136" i="1"/>
  <c r="B136" i="1"/>
  <c r="M135" i="1"/>
  <c r="I135" i="1"/>
  <c r="E135" i="1"/>
  <c r="P134" i="1"/>
  <c r="L134" i="1"/>
  <c r="H134" i="1"/>
  <c r="D134" i="1"/>
  <c r="O133" i="1"/>
  <c r="K133" i="1"/>
  <c r="G133" i="1"/>
  <c r="C133" i="1"/>
  <c r="N132" i="1"/>
  <c r="J132" i="1"/>
  <c r="F132" i="1"/>
  <c r="B132" i="1"/>
  <c r="M131" i="1"/>
  <c r="I131" i="1"/>
  <c r="E131" i="1"/>
  <c r="P130" i="1"/>
  <c r="L130" i="1"/>
  <c r="H130" i="1"/>
  <c r="D130" i="1"/>
  <c r="O129" i="1"/>
  <c r="K129" i="1"/>
  <c r="G129" i="1"/>
  <c r="C129" i="1"/>
  <c r="N128" i="1"/>
  <c r="J128" i="1"/>
  <c r="F128" i="1"/>
  <c r="B128" i="1"/>
  <c r="M127" i="1"/>
  <c r="I127" i="1"/>
  <c r="E127" i="1"/>
  <c r="P126" i="1"/>
  <c r="L126" i="1"/>
  <c r="H126" i="1"/>
  <c r="D126" i="1"/>
  <c r="O125" i="1"/>
  <c r="K125" i="1"/>
  <c r="G125" i="1"/>
  <c r="C125" i="1"/>
  <c r="N124" i="1"/>
  <c r="J124" i="1"/>
  <c r="F124" i="1"/>
  <c r="B124" i="1"/>
  <c r="M123" i="1"/>
  <c r="I123" i="1"/>
  <c r="E123" i="1"/>
  <c r="P122" i="1"/>
  <c r="L122" i="1"/>
  <c r="H122" i="1"/>
  <c r="D122" i="1"/>
  <c r="O121" i="1"/>
  <c r="K121" i="1"/>
  <c r="G121" i="1"/>
  <c r="C121" i="1"/>
  <c r="N120" i="1"/>
  <c r="J120" i="1"/>
  <c r="F120" i="1"/>
  <c r="B120" i="1"/>
  <c r="M119" i="1"/>
  <c r="I119" i="1"/>
  <c r="E119" i="1"/>
  <c r="P118" i="1"/>
  <c r="L118" i="1"/>
  <c r="H118" i="1"/>
  <c r="D118" i="1"/>
  <c r="O117" i="1"/>
  <c r="K117" i="1"/>
  <c r="G117" i="1"/>
  <c r="C117" i="1"/>
  <c r="N116" i="1"/>
  <c r="J116" i="1"/>
  <c r="F116" i="1"/>
  <c r="B116" i="1"/>
  <c r="M115" i="1"/>
  <c r="I115" i="1"/>
  <c r="E115" i="1"/>
  <c r="P114" i="1"/>
  <c r="L114" i="1"/>
  <c r="H114" i="1"/>
  <c r="D114" i="1"/>
  <c r="O113" i="1"/>
  <c r="K113" i="1"/>
  <c r="G113" i="1"/>
  <c r="C113" i="1"/>
  <c r="N112" i="1"/>
  <c r="J112" i="1"/>
  <c r="F112" i="1"/>
  <c r="B112" i="1"/>
  <c r="M111" i="1"/>
  <c r="I111" i="1"/>
  <c r="E111" i="1"/>
  <c r="P110" i="1"/>
  <c r="L110" i="1"/>
  <c r="H110" i="1"/>
  <c r="D110" i="1"/>
  <c r="O109" i="1"/>
  <c r="K109" i="1"/>
  <c r="G109" i="1"/>
  <c r="C109" i="1"/>
  <c r="N108" i="1"/>
  <c r="J108" i="1"/>
  <c r="F108" i="1"/>
  <c r="B108" i="1"/>
  <c r="M107" i="1"/>
  <c r="I107" i="1"/>
  <c r="E107" i="1"/>
  <c r="P106" i="1"/>
  <c r="L106" i="1"/>
  <c r="H106" i="1"/>
  <c r="D106" i="1"/>
  <c r="O105" i="1"/>
  <c r="K105" i="1"/>
  <c r="G105" i="1"/>
  <c r="C105" i="1"/>
  <c r="N104" i="1"/>
  <c r="J104" i="1"/>
  <c r="F104" i="1"/>
  <c r="B104" i="1"/>
  <c r="M103" i="1"/>
  <c r="I103" i="1"/>
  <c r="E103" i="1"/>
  <c r="P102" i="1"/>
  <c r="L102" i="1"/>
  <c r="H102" i="1"/>
  <c r="D102" i="1"/>
  <c r="O101" i="1"/>
  <c r="K101" i="1"/>
  <c r="G101" i="1"/>
  <c r="C101" i="1"/>
  <c r="N100" i="1"/>
  <c r="J100" i="1"/>
  <c r="F100" i="1"/>
  <c r="B100" i="1"/>
  <c r="M99" i="1"/>
  <c r="I99" i="1"/>
  <c r="E99" i="1"/>
  <c r="P98" i="1"/>
  <c r="L98" i="1"/>
  <c r="H98" i="1"/>
  <c r="D98" i="1"/>
  <c r="O97" i="1"/>
  <c r="K97" i="1"/>
  <c r="G97" i="1"/>
  <c r="C97" i="1"/>
  <c r="N96" i="1"/>
  <c r="J96" i="1"/>
  <c r="F96" i="1"/>
  <c r="B96" i="1"/>
  <c r="M95" i="1"/>
  <c r="I95" i="1"/>
  <c r="E95" i="1"/>
  <c r="P94" i="1"/>
  <c r="L94" i="1"/>
  <c r="H94" i="1"/>
  <c r="D94" i="1"/>
  <c r="O93" i="1"/>
  <c r="K93" i="1"/>
  <c r="G93" i="1"/>
  <c r="C93" i="1"/>
  <c r="N92" i="1"/>
  <c r="J92" i="1"/>
  <c r="F92" i="1"/>
  <c r="B92" i="1"/>
  <c r="M91" i="1"/>
  <c r="I91" i="1"/>
  <c r="E91" i="1"/>
  <c r="P90" i="1"/>
  <c r="L90" i="1"/>
  <c r="H90" i="1"/>
  <c r="D90" i="1"/>
  <c r="O89" i="1"/>
  <c r="K89" i="1"/>
  <c r="G89" i="1"/>
  <c r="C89" i="1"/>
  <c r="N88" i="1"/>
  <c r="J88" i="1"/>
  <c r="F88" i="1"/>
  <c r="B88" i="1"/>
  <c r="M87" i="1"/>
  <c r="I87" i="1"/>
  <c r="E87" i="1"/>
  <c r="P86" i="1"/>
  <c r="L86" i="1"/>
  <c r="H86" i="1"/>
  <c r="D86" i="1"/>
  <c r="O85" i="1"/>
  <c r="K85" i="1"/>
  <c r="G85" i="1"/>
  <c r="C85" i="1"/>
  <c r="N84" i="1"/>
  <c r="J84" i="1"/>
  <c r="F84" i="1"/>
  <c r="B84" i="1"/>
  <c r="M83" i="1"/>
  <c r="I83" i="1"/>
  <c r="E83" i="1"/>
  <c r="P82" i="1"/>
  <c r="L82" i="1"/>
  <c r="H82" i="1"/>
  <c r="D82" i="1"/>
  <c r="O81" i="1"/>
  <c r="K81" i="1"/>
  <c r="G81" i="1"/>
  <c r="C81" i="1"/>
  <c r="N80" i="1"/>
  <c r="J80" i="1"/>
  <c r="F80" i="1"/>
  <c r="B80" i="1"/>
  <c r="M79" i="1"/>
  <c r="I79" i="1"/>
  <c r="E79" i="1"/>
  <c r="P78" i="1"/>
  <c r="L78" i="1"/>
  <c r="H78" i="1"/>
  <c r="D78" i="1"/>
  <c r="O77" i="1"/>
  <c r="K77" i="1"/>
  <c r="G77" i="1"/>
  <c r="C77" i="1"/>
  <c r="N76" i="1"/>
  <c r="J76" i="1"/>
  <c r="F76" i="1"/>
  <c r="B76" i="1"/>
  <c r="M75" i="1"/>
  <c r="I75" i="1"/>
  <c r="E75" i="1"/>
  <c r="P74" i="1"/>
  <c r="L74" i="1"/>
  <c r="H74" i="1"/>
  <c r="D74" i="1"/>
  <c r="O73" i="1"/>
  <c r="K73" i="1"/>
  <c r="G73" i="1"/>
  <c r="C73" i="1"/>
  <c r="N72" i="1"/>
  <c r="J72" i="1"/>
  <c r="F72" i="1"/>
  <c r="B72" i="1"/>
  <c r="M71" i="1"/>
  <c r="I71" i="1"/>
  <c r="E71" i="1"/>
  <c r="P70" i="1"/>
  <c r="L70" i="1"/>
  <c r="H70" i="1"/>
  <c r="D70" i="1"/>
  <c r="O69" i="1"/>
  <c r="K69" i="1"/>
  <c r="G69" i="1"/>
  <c r="C69" i="1"/>
  <c r="N68" i="1"/>
  <c r="J68" i="1"/>
  <c r="F68" i="1"/>
  <c r="B68" i="1"/>
  <c r="M67" i="1"/>
  <c r="I67" i="1"/>
  <c r="E67" i="1"/>
  <c r="P66" i="1"/>
  <c r="L66" i="1"/>
  <c r="H66" i="1"/>
  <c r="D66" i="1"/>
  <c r="O65" i="1"/>
  <c r="K65" i="1"/>
  <c r="G65" i="1"/>
  <c r="C65" i="1"/>
  <c r="N64" i="1"/>
  <c r="J64" i="1"/>
  <c r="F64" i="1"/>
  <c r="B64" i="1"/>
  <c r="M63" i="1"/>
  <c r="I63" i="1"/>
  <c r="E63" i="1"/>
  <c r="P62" i="1"/>
  <c r="L62" i="1"/>
  <c r="H62" i="1"/>
  <c r="D62" i="1"/>
  <c r="O61" i="1"/>
  <c r="K61" i="1"/>
  <c r="G61" i="1"/>
  <c r="C61" i="1"/>
  <c r="N60" i="1"/>
  <c r="J60" i="1"/>
  <c r="F60" i="1"/>
  <c r="B60" i="1"/>
  <c r="M59" i="1"/>
  <c r="I59" i="1"/>
  <c r="E59" i="1"/>
  <c r="P58" i="1"/>
  <c r="L58" i="1"/>
  <c r="H58" i="1"/>
  <c r="D58" i="1"/>
  <c r="O57" i="1"/>
  <c r="K57" i="1"/>
  <c r="G57" i="1"/>
  <c r="C57" i="1"/>
  <c r="N56" i="1"/>
  <c r="J56" i="1"/>
  <c r="F56" i="1"/>
  <c r="B56" i="1"/>
  <c r="M55" i="1"/>
  <c r="I55" i="1"/>
  <c r="E55" i="1"/>
  <c r="P54" i="1"/>
  <c r="L54" i="1"/>
  <c r="H54" i="1"/>
  <c r="D54" i="1"/>
  <c r="O53" i="1"/>
  <c r="K53" i="1"/>
  <c r="G53" i="1"/>
  <c r="C53" i="1"/>
  <c r="N52" i="1"/>
  <c r="J52" i="1"/>
  <c r="F52" i="1"/>
  <c r="B52" i="1"/>
  <c r="M51" i="1"/>
  <c r="I51" i="1"/>
  <c r="E51" i="1"/>
  <c r="P50" i="1"/>
  <c r="L50" i="1"/>
  <c r="H50" i="1"/>
  <c r="D50" i="1"/>
  <c r="O49" i="1"/>
  <c r="K49" i="1"/>
  <c r="G49" i="1"/>
  <c r="C49" i="1"/>
  <c r="N48" i="1"/>
  <c r="J48" i="1"/>
  <c r="F48" i="1"/>
  <c r="B48" i="1"/>
  <c r="M47" i="1"/>
  <c r="I47" i="1"/>
  <c r="E47" i="1"/>
  <c r="P46" i="1"/>
  <c r="L46" i="1"/>
  <c r="H46" i="1"/>
  <c r="D46" i="1"/>
  <c r="O45" i="1"/>
  <c r="K45" i="1"/>
  <c r="G45" i="1"/>
  <c r="C45" i="1"/>
  <c r="N44" i="1"/>
  <c r="J44" i="1"/>
  <c r="F44" i="1"/>
  <c r="B44" i="1"/>
  <c r="M43" i="1"/>
  <c r="I43" i="1"/>
  <c r="E43" i="1"/>
  <c r="P42" i="1"/>
  <c r="L42" i="1"/>
  <c r="H42" i="1"/>
  <c r="D42" i="1"/>
  <c r="O41" i="1"/>
  <c r="K41" i="1"/>
  <c r="G41" i="1"/>
  <c r="C41" i="1"/>
  <c r="N40" i="1"/>
  <c r="J40" i="1"/>
  <c r="F40" i="1"/>
  <c r="B40" i="1"/>
  <c r="M39" i="1"/>
  <c r="I39" i="1"/>
  <c r="E39" i="1"/>
  <c r="P38" i="1"/>
  <c r="L38" i="1"/>
  <c r="H38" i="1"/>
  <c r="N399" i="1"/>
  <c r="N353" i="1"/>
  <c r="M336" i="1"/>
  <c r="L319" i="1"/>
  <c r="M308" i="1"/>
  <c r="I304" i="1"/>
  <c r="E300" i="1"/>
  <c r="P295" i="1"/>
  <c r="L291" i="1"/>
  <c r="H287" i="1"/>
  <c r="D283" i="1"/>
  <c r="O278" i="1"/>
  <c r="K274" i="1"/>
  <c r="G270" i="1"/>
  <c r="C266" i="1"/>
  <c r="N261" i="1"/>
  <c r="O258" i="1"/>
  <c r="L257" i="1"/>
  <c r="K256" i="1"/>
  <c r="J255" i="1"/>
  <c r="I254" i="1"/>
  <c r="H253" i="1"/>
  <c r="G252" i="1"/>
  <c r="F251" i="1"/>
  <c r="E250" i="1"/>
  <c r="D249" i="1"/>
  <c r="C248" i="1"/>
  <c r="B247" i="1"/>
  <c r="P245" i="1"/>
  <c r="O244" i="1"/>
  <c r="N243" i="1"/>
  <c r="M242" i="1"/>
  <c r="L241" i="1"/>
  <c r="K240" i="1"/>
  <c r="J239" i="1"/>
  <c r="I238" i="1"/>
  <c r="H237" i="1"/>
  <c r="G236" i="1"/>
  <c r="F235" i="1"/>
  <c r="E234" i="1"/>
  <c r="D233" i="1"/>
  <c r="C232" i="1"/>
  <c r="B231" i="1"/>
  <c r="P229" i="1"/>
  <c r="O228" i="1"/>
  <c r="N227" i="1"/>
  <c r="M226" i="1"/>
  <c r="L225" i="1"/>
  <c r="K224" i="1"/>
  <c r="J223" i="1"/>
  <c r="I222" i="1"/>
  <c r="H221" i="1"/>
  <c r="G220" i="1"/>
  <c r="F219" i="1"/>
  <c r="E218" i="1"/>
  <c r="D217" i="1"/>
  <c r="C216" i="1"/>
  <c r="B215" i="1"/>
  <c r="P213" i="1"/>
  <c r="O212" i="1"/>
  <c r="N211" i="1"/>
  <c r="M210" i="1"/>
  <c r="L209" i="1"/>
  <c r="K208" i="1"/>
  <c r="J207" i="1"/>
  <c r="I206" i="1"/>
  <c r="H205" i="1"/>
  <c r="G204" i="1"/>
  <c r="F203" i="1"/>
  <c r="E202" i="1"/>
  <c r="D201" i="1"/>
  <c r="C200" i="1"/>
  <c r="B199" i="1"/>
  <c r="P197" i="1"/>
  <c r="O196" i="1"/>
  <c r="N195" i="1"/>
  <c r="M194" i="1"/>
  <c r="L193" i="1"/>
  <c r="K192" i="1"/>
  <c r="J191" i="1"/>
  <c r="I190" i="1"/>
  <c r="H189" i="1"/>
  <c r="G188" i="1"/>
  <c r="F187" i="1"/>
  <c r="E186" i="1"/>
  <c r="D185" i="1"/>
  <c r="C184" i="1"/>
  <c r="B183" i="1"/>
  <c r="P181" i="1"/>
  <c r="O180" i="1"/>
  <c r="N179" i="1"/>
  <c r="M178" i="1"/>
  <c r="L177" i="1"/>
  <c r="K176" i="1"/>
  <c r="J175" i="1"/>
  <c r="I174" i="1"/>
  <c r="H173" i="1"/>
  <c r="G172" i="1"/>
  <c r="F171" i="1"/>
  <c r="E170" i="1"/>
  <c r="D169" i="1"/>
  <c r="C168" i="1"/>
  <c r="B167" i="1"/>
  <c r="P165" i="1"/>
  <c r="O164" i="1"/>
  <c r="N163" i="1"/>
  <c r="M162" i="1"/>
  <c r="L161" i="1"/>
  <c r="K160" i="1"/>
  <c r="J159" i="1"/>
  <c r="I158" i="1"/>
  <c r="H157" i="1"/>
  <c r="G156" i="1"/>
  <c r="F155" i="1"/>
  <c r="E154" i="1"/>
  <c r="D153" i="1"/>
  <c r="C152" i="1"/>
  <c r="B151" i="1"/>
  <c r="P149" i="1"/>
  <c r="O148" i="1"/>
  <c r="N147" i="1"/>
  <c r="M146" i="1"/>
  <c r="L145" i="1"/>
  <c r="K144" i="1"/>
  <c r="J143" i="1"/>
  <c r="I142" i="1"/>
  <c r="H141" i="1"/>
  <c r="K140" i="1"/>
  <c r="F140" i="1"/>
  <c r="P139" i="1"/>
  <c r="L139" i="1"/>
  <c r="H139" i="1"/>
  <c r="D139" i="1"/>
  <c r="O138" i="1"/>
  <c r="K138" i="1"/>
  <c r="G138" i="1"/>
  <c r="C138" i="1"/>
  <c r="N137" i="1"/>
  <c r="J137" i="1"/>
  <c r="F137" i="1"/>
  <c r="B137" i="1"/>
  <c r="M136" i="1"/>
  <c r="I136" i="1"/>
  <c r="E136" i="1"/>
  <c r="P135" i="1"/>
  <c r="L135" i="1"/>
  <c r="H135" i="1"/>
  <c r="D135" i="1"/>
  <c r="O134" i="1"/>
  <c r="K134" i="1"/>
  <c r="G134" i="1"/>
  <c r="C134" i="1"/>
  <c r="N133" i="1"/>
  <c r="J133" i="1"/>
  <c r="F133" i="1"/>
  <c r="B133" i="1"/>
  <c r="M132" i="1"/>
  <c r="I132" i="1"/>
  <c r="E132" i="1"/>
  <c r="P131" i="1"/>
  <c r="L131" i="1"/>
  <c r="H131" i="1"/>
  <c r="D131" i="1"/>
  <c r="O130" i="1"/>
  <c r="K130" i="1"/>
  <c r="G130" i="1"/>
  <c r="C130" i="1"/>
  <c r="N129" i="1"/>
  <c r="J129" i="1"/>
  <c r="F129" i="1"/>
  <c r="B129" i="1"/>
  <c r="M128" i="1"/>
  <c r="I128" i="1"/>
  <c r="E128" i="1"/>
  <c r="P127" i="1"/>
  <c r="L127" i="1"/>
  <c r="H127" i="1"/>
  <c r="D127" i="1"/>
  <c r="O126" i="1"/>
  <c r="K126" i="1"/>
  <c r="G126" i="1"/>
  <c r="C126" i="1"/>
  <c r="N125" i="1"/>
  <c r="J125" i="1"/>
  <c r="F125" i="1"/>
  <c r="B125" i="1"/>
  <c r="M124" i="1"/>
  <c r="I124" i="1"/>
  <c r="E124" i="1"/>
  <c r="P123" i="1"/>
  <c r="L123" i="1"/>
  <c r="H123" i="1"/>
  <c r="D123" i="1"/>
  <c r="O122" i="1"/>
  <c r="K122" i="1"/>
  <c r="G122" i="1"/>
  <c r="C122" i="1"/>
  <c r="N121" i="1"/>
  <c r="J121" i="1"/>
  <c r="F121" i="1"/>
  <c r="B121" i="1"/>
  <c r="M120" i="1"/>
  <c r="I120" i="1"/>
  <c r="E120" i="1"/>
  <c r="P119" i="1"/>
  <c r="L119" i="1"/>
  <c r="H119" i="1"/>
  <c r="D119" i="1"/>
  <c r="O118" i="1"/>
  <c r="K118" i="1"/>
  <c r="G118" i="1"/>
  <c r="C118" i="1"/>
  <c r="N117" i="1"/>
  <c r="J117" i="1"/>
  <c r="F117" i="1"/>
  <c r="B117" i="1"/>
  <c r="M116" i="1"/>
  <c r="I116" i="1"/>
  <c r="E116" i="1"/>
  <c r="P115" i="1"/>
  <c r="L115" i="1"/>
  <c r="H115" i="1"/>
  <c r="D115" i="1"/>
  <c r="O114" i="1"/>
  <c r="K114" i="1"/>
  <c r="G114" i="1"/>
  <c r="C114" i="1"/>
  <c r="N113" i="1"/>
  <c r="J113" i="1"/>
  <c r="F113" i="1"/>
  <c r="B113" i="1"/>
  <c r="M112" i="1"/>
  <c r="I112" i="1"/>
  <c r="E112" i="1"/>
  <c r="P111" i="1"/>
  <c r="L111" i="1"/>
  <c r="H111" i="1"/>
  <c r="D111" i="1"/>
  <c r="O110" i="1"/>
  <c r="K110" i="1"/>
  <c r="G110" i="1"/>
  <c r="C110" i="1"/>
  <c r="N109" i="1"/>
  <c r="J109" i="1"/>
  <c r="F109" i="1"/>
  <c r="B109" i="1"/>
  <c r="M108" i="1"/>
  <c r="I108" i="1"/>
  <c r="E108" i="1"/>
  <c r="P107" i="1"/>
  <c r="L107" i="1"/>
  <c r="H107" i="1"/>
  <c r="D107" i="1"/>
  <c r="O106" i="1"/>
  <c r="K106" i="1"/>
  <c r="G106" i="1"/>
  <c r="C106" i="1"/>
  <c r="N105" i="1"/>
  <c r="J105" i="1"/>
  <c r="F105" i="1"/>
  <c r="B105" i="1"/>
  <c r="L365" i="1"/>
  <c r="F345" i="1"/>
  <c r="E328" i="1"/>
  <c r="D311" i="1"/>
  <c r="K306" i="1"/>
  <c r="G302" i="1"/>
  <c r="C298" i="1"/>
  <c r="N293" i="1"/>
  <c r="J289" i="1"/>
  <c r="F285" i="1"/>
  <c r="B281" i="1"/>
  <c r="M276" i="1"/>
  <c r="I272" i="1"/>
  <c r="E268" i="1"/>
  <c r="P263" i="1"/>
  <c r="L259" i="1"/>
  <c r="E258" i="1"/>
  <c r="D257" i="1"/>
  <c r="C256" i="1"/>
  <c r="B255" i="1"/>
  <c r="P253" i="1"/>
  <c r="O252" i="1"/>
  <c r="N251" i="1"/>
  <c r="M250" i="1"/>
  <c r="L249" i="1"/>
  <c r="K248" i="1"/>
  <c r="J247" i="1"/>
  <c r="I246" i="1"/>
  <c r="H245" i="1"/>
  <c r="G244" i="1"/>
  <c r="F243" i="1"/>
  <c r="E242" i="1"/>
  <c r="D241" i="1"/>
  <c r="C240" i="1"/>
  <c r="B239" i="1"/>
  <c r="P237" i="1"/>
  <c r="O236" i="1"/>
  <c r="N235" i="1"/>
  <c r="M234" i="1"/>
  <c r="L233" i="1"/>
  <c r="K232" i="1"/>
  <c r="J231" i="1"/>
  <c r="I230" i="1"/>
  <c r="H229" i="1"/>
  <c r="G228" i="1"/>
  <c r="F227" i="1"/>
  <c r="E226" i="1"/>
  <c r="D225" i="1"/>
  <c r="C224" i="1"/>
  <c r="B223" i="1"/>
  <c r="P221" i="1"/>
  <c r="O220" i="1"/>
  <c r="N219" i="1"/>
  <c r="M218" i="1"/>
  <c r="L217" i="1"/>
  <c r="K216" i="1"/>
  <c r="J215" i="1"/>
  <c r="I214" i="1"/>
  <c r="H213" i="1"/>
  <c r="G212" i="1"/>
  <c r="F211" i="1"/>
  <c r="E210" i="1"/>
  <c r="D209" i="1"/>
  <c r="C208" i="1"/>
  <c r="B207" i="1"/>
  <c r="P205" i="1"/>
  <c r="O204" i="1"/>
  <c r="N203" i="1"/>
  <c r="M202" i="1"/>
  <c r="L201" i="1"/>
  <c r="K200" i="1"/>
  <c r="J199" i="1"/>
  <c r="I198" i="1"/>
  <c r="H197" i="1"/>
  <c r="G196" i="1"/>
  <c r="F195" i="1"/>
  <c r="E194" i="1"/>
  <c r="D193" i="1"/>
  <c r="C192" i="1"/>
  <c r="B191" i="1"/>
  <c r="P189" i="1"/>
  <c r="O188" i="1"/>
  <c r="N187" i="1"/>
  <c r="M186" i="1"/>
  <c r="L185" i="1"/>
  <c r="K184" i="1"/>
  <c r="J183" i="1"/>
  <c r="I182" i="1"/>
  <c r="H181" i="1"/>
  <c r="G180" i="1"/>
  <c r="F179" i="1"/>
  <c r="E178" i="1"/>
  <c r="D177" i="1"/>
  <c r="C176" i="1"/>
  <c r="B175" i="1"/>
  <c r="P173" i="1"/>
  <c r="O172" i="1"/>
  <c r="N171" i="1"/>
  <c r="M170" i="1"/>
  <c r="L169" i="1"/>
  <c r="K168" i="1"/>
  <c r="J167" i="1"/>
  <c r="I166" i="1"/>
  <c r="H165" i="1"/>
  <c r="G164" i="1"/>
  <c r="F163" i="1"/>
  <c r="E162" i="1"/>
  <c r="D161" i="1"/>
  <c r="C160" i="1"/>
  <c r="B159" i="1"/>
  <c r="P157" i="1"/>
  <c r="O156" i="1"/>
  <c r="N155" i="1"/>
  <c r="M154" i="1"/>
  <c r="L153" i="1"/>
  <c r="K152" i="1"/>
  <c r="J151" i="1"/>
  <c r="I150" i="1"/>
  <c r="H149" i="1"/>
  <c r="G148" i="1"/>
  <c r="F147" i="1"/>
  <c r="E146" i="1"/>
  <c r="D145" i="1"/>
  <c r="C144" i="1"/>
  <c r="B143" i="1"/>
  <c r="P141" i="1"/>
  <c r="O140" i="1"/>
  <c r="I140" i="1"/>
  <c r="C140" i="1"/>
  <c r="N139" i="1"/>
  <c r="J139" i="1"/>
  <c r="F139" i="1"/>
  <c r="B139" i="1"/>
  <c r="M138" i="1"/>
  <c r="I138" i="1"/>
  <c r="E138" i="1"/>
  <c r="P137" i="1"/>
  <c r="L137" i="1"/>
  <c r="H137" i="1"/>
  <c r="D137" i="1"/>
  <c r="O136" i="1"/>
  <c r="K136" i="1"/>
  <c r="G136" i="1"/>
  <c r="C136" i="1"/>
  <c r="N135" i="1"/>
  <c r="J135" i="1"/>
  <c r="F135" i="1"/>
  <c r="B135" i="1"/>
  <c r="M134" i="1"/>
  <c r="I134" i="1"/>
  <c r="E134" i="1"/>
  <c r="P133" i="1"/>
  <c r="L133" i="1"/>
  <c r="H133" i="1"/>
  <c r="D133" i="1"/>
  <c r="O132" i="1"/>
  <c r="K132" i="1"/>
  <c r="G132" i="1"/>
  <c r="C132" i="1"/>
  <c r="N131" i="1"/>
  <c r="J131" i="1"/>
  <c r="F131" i="1"/>
  <c r="B131" i="1"/>
  <c r="M130" i="1"/>
  <c r="I130" i="1"/>
  <c r="E130" i="1"/>
  <c r="P129" i="1"/>
  <c r="L129" i="1"/>
  <c r="H129" i="1"/>
  <c r="D129" i="1"/>
  <c r="O128" i="1"/>
  <c r="K128" i="1"/>
  <c r="G128" i="1"/>
  <c r="C128" i="1"/>
  <c r="N127" i="1"/>
  <c r="J127" i="1"/>
  <c r="F127" i="1"/>
  <c r="B127" i="1"/>
  <c r="M126" i="1"/>
  <c r="I126" i="1"/>
  <c r="E126" i="1"/>
  <c r="P125" i="1"/>
  <c r="L125" i="1"/>
  <c r="H125" i="1"/>
  <c r="D125" i="1"/>
  <c r="O124" i="1"/>
  <c r="K124" i="1"/>
  <c r="G124" i="1"/>
  <c r="C124" i="1"/>
  <c r="N123" i="1"/>
  <c r="J123" i="1"/>
  <c r="F123" i="1"/>
  <c r="B123" i="1"/>
  <c r="M122" i="1"/>
  <c r="I122" i="1"/>
  <c r="E122" i="1"/>
  <c r="P121" i="1"/>
  <c r="L121" i="1"/>
  <c r="H121" i="1"/>
  <c r="D121" i="1"/>
  <c r="O120" i="1"/>
  <c r="K120" i="1"/>
  <c r="G120" i="1"/>
  <c r="C120" i="1"/>
  <c r="N119" i="1"/>
  <c r="J119" i="1"/>
  <c r="F119" i="1"/>
  <c r="B119" i="1"/>
  <c r="M118" i="1"/>
  <c r="I118" i="1"/>
  <c r="E118" i="1"/>
  <c r="P117" i="1"/>
  <c r="L117" i="1"/>
  <c r="H117" i="1"/>
  <c r="D117" i="1"/>
  <c r="O116" i="1"/>
  <c r="K116" i="1"/>
  <c r="G116" i="1"/>
  <c r="C116" i="1"/>
  <c r="N115" i="1"/>
  <c r="J115" i="1"/>
  <c r="F115" i="1"/>
  <c r="B115" i="1"/>
  <c r="M114" i="1"/>
  <c r="I114" i="1"/>
  <c r="E114" i="1"/>
  <c r="P113" i="1"/>
  <c r="L113" i="1"/>
  <c r="H113" i="1"/>
  <c r="D113" i="1"/>
  <c r="O112" i="1"/>
  <c r="K112" i="1"/>
  <c r="G112" i="1"/>
  <c r="C112" i="1"/>
  <c r="N111" i="1"/>
  <c r="J111" i="1"/>
  <c r="F111" i="1"/>
  <c r="B111" i="1"/>
  <c r="M110" i="1"/>
  <c r="I110" i="1"/>
  <c r="E110" i="1"/>
  <c r="P109" i="1"/>
  <c r="L109" i="1"/>
  <c r="H109" i="1"/>
  <c r="D109" i="1"/>
  <c r="O108" i="1"/>
  <c r="K108" i="1"/>
  <c r="G108" i="1"/>
  <c r="C108" i="1"/>
  <c r="N107" i="1"/>
  <c r="J107" i="1"/>
  <c r="F107" i="1"/>
  <c r="B107" i="1"/>
  <c r="M106" i="1"/>
  <c r="I106" i="1"/>
  <c r="E106" i="1"/>
  <c r="P105" i="1"/>
  <c r="L105" i="1"/>
  <c r="H105" i="1"/>
  <c r="D105" i="1"/>
  <c r="O104" i="1"/>
  <c r="K104" i="1"/>
  <c r="G104" i="1"/>
  <c r="C104" i="1"/>
  <c r="N103" i="1"/>
  <c r="J103" i="1"/>
  <c r="F103" i="1"/>
  <c r="B103" i="1"/>
  <c r="M102" i="1"/>
  <c r="I102" i="1"/>
  <c r="E102" i="1"/>
  <c r="P101" i="1"/>
  <c r="L101" i="1"/>
  <c r="H101" i="1"/>
  <c r="D101" i="1"/>
  <c r="O100" i="1"/>
  <c r="K100" i="1"/>
  <c r="G100" i="1"/>
  <c r="C100" i="1"/>
  <c r="N99" i="1"/>
  <c r="J99" i="1"/>
  <c r="F99" i="1"/>
  <c r="B99" i="1"/>
  <c r="M98" i="1"/>
  <c r="I98" i="1"/>
  <c r="E98" i="1"/>
  <c r="P97" i="1"/>
  <c r="L97" i="1"/>
  <c r="H97" i="1"/>
  <c r="D97" i="1"/>
  <c r="O96" i="1"/>
  <c r="K96" i="1"/>
  <c r="G96" i="1"/>
  <c r="C96" i="1"/>
  <c r="N95" i="1"/>
  <c r="J95" i="1"/>
  <c r="F95" i="1"/>
  <c r="B95" i="1"/>
  <c r="M94" i="1"/>
  <c r="I94" i="1"/>
  <c r="E94" i="1"/>
  <c r="P93" i="1"/>
  <c r="L93" i="1"/>
  <c r="H93" i="1"/>
  <c r="D93" i="1"/>
  <c r="O92" i="1"/>
  <c r="K92" i="1"/>
  <c r="G92" i="1"/>
  <c r="C92" i="1"/>
  <c r="N91" i="1"/>
  <c r="J91" i="1"/>
  <c r="F91" i="1"/>
  <c r="B91" i="1"/>
  <c r="M90" i="1"/>
  <c r="I90" i="1"/>
  <c r="E90" i="1"/>
  <c r="P89" i="1"/>
  <c r="L89" i="1"/>
  <c r="H89" i="1"/>
  <c r="D89" i="1"/>
  <c r="O88" i="1"/>
  <c r="K88" i="1"/>
  <c r="G88" i="1"/>
  <c r="C88" i="1"/>
  <c r="N87" i="1"/>
  <c r="J87" i="1"/>
  <c r="F87" i="1"/>
  <c r="B87" i="1"/>
  <c r="M86" i="1"/>
  <c r="I86" i="1"/>
  <c r="E86" i="1"/>
  <c r="P85" i="1"/>
  <c r="L85" i="1"/>
  <c r="H85" i="1"/>
  <c r="D85" i="1"/>
  <c r="O84" i="1"/>
  <c r="K84" i="1"/>
  <c r="G84" i="1"/>
  <c r="C84" i="1"/>
  <c r="N83" i="1"/>
  <c r="J83" i="1"/>
  <c r="F83" i="1"/>
  <c r="B83" i="1"/>
  <c r="M82" i="1"/>
  <c r="I82" i="1"/>
  <c r="E82" i="1"/>
  <c r="P81" i="1"/>
  <c r="L81" i="1"/>
  <c r="H81" i="1"/>
  <c r="D81" i="1"/>
  <c r="O80" i="1"/>
  <c r="K80" i="1"/>
  <c r="G80" i="1"/>
  <c r="C80" i="1"/>
  <c r="N79" i="1"/>
  <c r="J79" i="1"/>
  <c r="F79" i="1"/>
  <c r="B79" i="1"/>
  <c r="M78" i="1"/>
  <c r="I78" i="1"/>
  <c r="E78" i="1"/>
  <c r="P77" i="1"/>
  <c r="L77" i="1"/>
  <c r="H77" i="1"/>
  <c r="D77" i="1"/>
  <c r="O76" i="1"/>
  <c r="K76" i="1"/>
  <c r="G76" i="1"/>
  <c r="C76" i="1"/>
  <c r="N75" i="1"/>
  <c r="J75" i="1"/>
  <c r="F75" i="1"/>
  <c r="B75" i="1"/>
  <c r="M74" i="1"/>
  <c r="I74" i="1"/>
  <c r="E74" i="1"/>
  <c r="P73" i="1"/>
  <c r="L73" i="1"/>
  <c r="H73" i="1"/>
  <c r="D73" i="1"/>
  <c r="O72" i="1"/>
  <c r="K72" i="1"/>
  <c r="G72" i="1"/>
  <c r="C72" i="1"/>
  <c r="N71" i="1"/>
  <c r="J71" i="1"/>
  <c r="F71" i="1"/>
  <c r="B71" i="1"/>
  <c r="M70" i="1"/>
  <c r="I70" i="1"/>
  <c r="E70" i="1"/>
  <c r="P69" i="1"/>
  <c r="L69" i="1"/>
  <c r="H69" i="1"/>
  <c r="D69" i="1"/>
  <c r="O68" i="1"/>
  <c r="K68" i="1"/>
  <c r="G68" i="1"/>
  <c r="C68" i="1"/>
  <c r="N67" i="1"/>
  <c r="J67" i="1"/>
  <c r="F67" i="1"/>
  <c r="B67" i="1"/>
  <c r="M66" i="1"/>
  <c r="I66" i="1"/>
  <c r="E66" i="1"/>
  <c r="P65" i="1"/>
  <c r="L65" i="1"/>
  <c r="H65" i="1"/>
  <c r="D65" i="1"/>
  <c r="O64" i="1"/>
  <c r="K64" i="1"/>
  <c r="G64" i="1"/>
  <c r="C64" i="1"/>
  <c r="N63" i="1"/>
  <c r="J63" i="1"/>
  <c r="F63" i="1"/>
  <c r="B63" i="1"/>
  <c r="M62" i="1"/>
  <c r="I62" i="1"/>
  <c r="E62" i="1"/>
  <c r="P61" i="1"/>
  <c r="L61" i="1"/>
  <c r="H61" i="1"/>
  <c r="D61" i="1"/>
  <c r="O60" i="1"/>
  <c r="K60" i="1"/>
  <c r="G60" i="1"/>
  <c r="C60" i="1"/>
  <c r="N59" i="1"/>
  <c r="J59" i="1"/>
  <c r="F59" i="1"/>
  <c r="B59" i="1"/>
  <c r="M58" i="1"/>
  <c r="I58" i="1"/>
  <c r="E58" i="1"/>
  <c r="P57" i="1"/>
  <c r="L57" i="1"/>
  <c r="H57" i="1"/>
  <c r="D57" i="1"/>
  <c r="O56" i="1"/>
  <c r="K56" i="1"/>
  <c r="G56" i="1"/>
  <c r="C56" i="1"/>
  <c r="N55" i="1"/>
  <c r="J55" i="1"/>
  <c r="F55" i="1"/>
  <c r="B55" i="1"/>
  <c r="M54" i="1"/>
  <c r="I54" i="1"/>
  <c r="E54" i="1"/>
  <c r="P53" i="1"/>
  <c r="L53" i="1"/>
  <c r="H53" i="1"/>
  <c r="D53" i="1"/>
  <c r="O52" i="1"/>
  <c r="K52" i="1"/>
  <c r="G52" i="1"/>
  <c r="C52" i="1"/>
  <c r="N51" i="1"/>
  <c r="J51" i="1"/>
  <c r="F51" i="1"/>
  <c r="B51" i="1"/>
  <c r="M50" i="1"/>
  <c r="I50" i="1"/>
  <c r="E50" i="1"/>
  <c r="P49" i="1"/>
  <c r="L49" i="1"/>
  <c r="H49" i="1"/>
  <c r="D49" i="1"/>
  <c r="O48" i="1"/>
  <c r="K48" i="1"/>
  <c r="G48" i="1"/>
  <c r="C48" i="1"/>
  <c r="N47" i="1"/>
  <c r="J47" i="1"/>
  <c r="F47" i="1"/>
  <c r="B47" i="1"/>
  <c r="M46" i="1"/>
  <c r="I46" i="1"/>
  <c r="E46" i="1"/>
  <c r="P45" i="1"/>
  <c r="L45" i="1"/>
  <c r="H45" i="1"/>
  <c r="D45" i="1"/>
  <c r="O44" i="1"/>
  <c r="K44" i="1"/>
  <c r="G44" i="1"/>
  <c r="C44" i="1"/>
  <c r="N43" i="1"/>
  <c r="J43" i="1"/>
  <c r="F43" i="1"/>
  <c r="B43" i="1"/>
  <c r="M42" i="1"/>
  <c r="I42" i="1"/>
  <c r="E42" i="1"/>
  <c r="P41" i="1"/>
  <c r="L41" i="1"/>
  <c r="H41" i="1"/>
  <c r="D41" i="1"/>
  <c r="O40" i="1"/>
  <c r="K40" i="1"/>
  <c r="G40" i="1"/>
  <c r="C40" i="1"/>
  <c r="N39" i="1"/>
  <c r="J39" i="1"/>
  <c r="F39" i="1"/>
  <c r="B39" i="1"/>
  <c r="M38" i="1"/>
  <c r="I38" i="1"/>
  <c r="E38" i="1"/>
  <c r="M382" i="1"/>
  <c r="L307" i="1"/>
  <c r="K290" i="1"/>
  <c r="J273" i="1"/>
  <c r="I258" i="1"/>
  <c r="E254" i="1"/>
  <c r="P249" i="1"/>
  <c r="L245" i="1"/>
  <c r="H241" i="1"/>
  <c r="D237" i="1"/>
  <c r="O232" i="1"/>
  <c r="K228" i="1"/>
  <c r="G224" i="1"/>
  <c r="C220" i="1"/>
  <c r="N215" i="1"/>
  <c r="J211" i="1"/>
  <c r="F207" i="1"/>
  <c r="B203" i="1"/>
  <c r="M198" i="1"/>
  <c r="I194" i="1"/>
  <c r="E190" i="1"/>
  <c r="P185" i="1"/>
  <c r="L181" i="1"/>
  <c r="H177" i="1"/>
  <c r="D173" i="1"/>
  <c r="O168" i="1"/>
  <c r="K164" i="1"/>
  <c r="G160" i="1"/>
  <c r="C156" i="1"/>
  <c r="N151" i="1"/>
  <c r="J147" i="1"/>
  <c r="F143" i="1"/>
  <c r="E140" i="1"/>
  <c r="C139" i="1"/>
  <c r="B138" i="1"/>
  <c r="P136" i="1"/>
  <c r="O135" i="1"/>
  <c r="N134" i="1"/>
  <c r="M133" i="1"/>
  <c r="L132" i="1"/>
  <c r="K131" i="1"/>
  <c r="J130" i="1"/>
  <c r="I129" i="1"/>
  <c r="H128" i="1"/>
  <c r="I332" i="1"/>
  <c r="D299" i="1"/>
  <c r="C282" i="1"/>
  <c r="B265" i="1"/>
  <c r="G256" i="1"/>
  <c r="C252" i="1"/>
  <c r="N247" i="1"/>
  <c r="J243" i="1"/>
  <c r="F239" i="1"/>
  <c r="B235" i="1"/>
  <c r="M230" i="1"/>
  <c r="I226" i="1"/>
  <c r="E222" i="1"/>
  <c r="P217" i="1"/>
  <c r="L213" i="1"/>
  <c r="H209" i="1"/>
  <c r="D205" i="1"/>
  <c r="O200" i="1"/>
  <c r="K196" i="1"/>
  <c r="G192" i="1"/>
  <c r="C188" i="1"/>
  <c r="N183" i="1"/>
  <c r="J179" i="1"/>
  <c r="F175" i="1"/>
  <c r="B171" i="1"/>
  <c r="M166" i="1"/>
  <c r="I162" i="1"/>
  <c r="E158" i="1"/>
  <c r="P153" i="1"/>
  <c r="L149" i="1"/>
  <c r="H145" i="1"/>
  <c r="D141" i="1"/>
  <c r="K139" i="1"/>
  <c r="J138" i="1"/>
  <c r="I137" i="1"/>
  <c r="H136" i="1"/>
  <c r="G135" i="1"/>
  <c r="F134" i="1"/>
  <c r="E133" i="1"/>
  <c r="D132" i="1"/>
  <c r="C131" i="1"/>
  <c r="B130" i="1"/>
  <c r="P128" i="1"/>
  <c r="O127" i="1"/>
  <c r="N126" i="1"/>
  <c r="M125" i="1"/>
  <c r="L124" i="1"/>
  <c r="K123" i="1"/>
  <c r="J122" i="1"/>
  <c r="I121" i="1"/>
  <c r="H120" i="1"/>
  <c r="G119" i="1"/>
  <c r="F118" i="1"/>
  <c r="E117" i="1"/>
  <c r="D116" i="1"/>
  <c r="C115" i="1"/>
  <c r="B114" i="1"/>
  <c r="P112" i="1"/>
  <c r="O111" i="1"/>
  <c r="N110" i="1"/>
  <c r="M109" i="1"/>
  <c r="L108" i="1"/>
  <c r="K107" i="1"/>
  <c r="J106" i="1"/>
  <c r="I105" i="1"/>
  <c r="L104" i="1"/>
  <c r="D104" i="1"/>
  <c r="K103" i="1"/>
  <c r="C103" i="1"/>
  <c r="J102" i="1"/>
  <c r="B102" i="1"/>
  <c r="I101" i="1"/>
  <c r="P100" i="1"/>
  <c r="H100" i="1"/>
  <c r="O99" i="1"/>
  <c r="G99" i="1"/>
  <c r="N98" i="1"/>
  <c r="F98" i="1"/>
  <c r="M97" i="1"/>
  <c r="E97" i="1"/>
  <c r="L96" i="1"/>
  <c r="D96" i="1"/>
  <c r="K95" i="1"/>
  <c r="C95" i="1"/>
  <c r="J94" i="1"/>
  <c r="B94" i="1"/>
  <c r="I93" i="1"/>
  <c r="P92" i="1"/>
  <c r="H92" i="1"/>
  <c r="O91" i="1"/>
  <c r="G91" i="1"/>
  <c r="N90" i="1"/>
  <c r="F90" i="1"/>
  <c r="M89" i="1"/>
  <c r="E89" i="1"/>
  <c r="L88" i="1"/>
  <c r="D88" i="1"/>
  <c r="K87" i="1"/>
  <c r="C87" i="1"/>
  <c r="J86" i="1"/>
  <c r="B86" i="1"/>
  <c r="I85" i="1"/>
  <c r="P84" i="1"/>
  <c r="H84" i="1"/>
  <c r="O83" i="1"/>
  <c r="G83" i="1"/>
  <c r="N82" i="1"/>
  <c r="F82" i="1"/>
  <c r="M81" i="1"/>
  <c r="E81" i="1"/>
  <c r="L80" i="1"/>
  <c r="D80" i="1"/>
  <c r="K79" i="1"/>
  <c r="C79" i="1"/>
  <c r="J78" i="1"/>
  <c r="B78" i="1"/>
  <c r="I77" i="1"/>
  <c r="P76" i="1"/>
  <c r="H76" i="1"/>
  <c r="O75" i="1"/>
  <c r="G75" i="1"/>
  <c r="N74" i="1"/>
  <c r="F74" i="1"/>
  <c r="M73" i="1"/>
  <c r="E73" i="1"/>
  <c r="L72" i="1"/>
  <c r="D72" i="1"/>
  <c r="J349" i="1"/>
  <c r="G286" i="1"/>
  <c r="H257" i="1"/>
  <c r="O248" i="1"/>
  <c r="G240" i="1"/>
  <c r="N231" i="1"/>
  <c r="F223" i="1"/>
  <c r="M214" i="1"/>
  <c r="E206" i="1"/>
  <c r="L197" i="1"/>
  <c r="D189" i="1"/>
  <c r="K180" i="1"/>
  <c r="C172" i="1"/>
  <c r="J163" i="1"/>
  <c r="B155" i="1"/>
  <c r="I146" i="1"/>
  <c r="O139" i="1"/>
  <c r="M137" i="1"/>
  <c r="K135" i="1"/>
  <c r="I133" i="1"/>
  <c r="G131" i="1"/>
  <c r="E129" i="1"/>
  <c r="G127" i="1"/>
  <c r="B126" i="1"/>
  <c r="H124" i="1"/>
  <c r="C123" i="1"/>
  <c r="M121" i="1"/>
  <c r="D120" i="1"/>
  <c r="N118" i="1"/>
  <c r="I117" i="1"/>
  <c r="O115" i="1"/>
  <c r="J114" i="1"/>
  <c r="E113" i="1"/>
  <c r="K111" i="1"/>
  <c r="F110" i="1"/>
  <c r="P108" i="1"/>
  <c r="G107" i="1"/>
  <c r="B106" i="1"/>
  <c r="M104" i="1"/>
  <c r="P103" i="1"/>
  <c r="G103" i="1"/>
  <c r="K102" i="1"/>
  <c r="N101" i="1"/>
  <c r="E101" i="1"/>
  <c r="I100" i="1"/>
  <c r="L99" i="1"/>
  <c r="C99" i="1"/>
  <c r="G98" i="1"/>
  <c r="J97" i="1"/>
  <c r="P96" i="1"/>
  <c r="E96" i="1"/>
  <c r="H95" i="1"/>
  <c r="N94" i="1"/>
  <c r="C94" i="1"/>
  <c r="F93" i="1"/>
  <c r="L92" i="1"/>
  <c r="P91" i="1"/>
  <c r="D91" i="1"/>
  <c r="J90" i="1"/>
  <c r="N89" i="1"/>
  <c r="B89" i="1"/>
  <c r="H88" i="1"/>
  <c r="L87" i="1"/>
  <c r="O86" i="1"/>
  <c r="F86" i="1"/>
  <c r="J85" i="1"/>
  <c r="M84" i="1"/>
  <c r="D84" i="1"/>
  <c r="H83" i="1"/>
  <c r="K82" i="1"/>
  <c r="B82" i="1"/>
  <c r="F81" i="1"/>
  <c r="I80" i="1"/>
  <c r="O79" i="1"/>
  <c r="D79" i="1"/>
  <c r="G78" i="1"/>
  <c r="M77" i="1"/>
  <c r="B77" i="1"/>
  <c r="E76" i="1"/>
  <c r="K75" i="1"/>
  <c r="O74" i="1"/>
  <c r="C74" i="1"/>
  <c r="I73" i="1"/>
  <c r="M72" i="1"/>
  <c r="P71" i="1"/>
  <c r="H71" i="1"/>
  <c r="O70" i="1"/>
  <c r="G70" i="1"/>
  <c r="N69" i="1"/>
  <c r="F69" i="1"/>
  <c r="M68" i="1"/>
  <c r="E68" i="1"/>
  <c r="L67" i="1"/>
  <c r="D67" i="1"/>
  <c r="K66" i="1"/>
  <c r="C66" i="1"/>
  <c r="J65" i="1"/>
  <c r="B65" i="1"/>
  <c r="I64" i="1"/>
  <c r="P63" i="1"/>
  <c r="H63" i="1"/>
  <c r="O62" i="1"/>
  <c r="G62" i="1"/>
  <c r="N61" i="1"/>
  <c r="F61" i="1"/>
  <c r="M60" i="1"/>
  <c r="E60" i="1"/>
  <c r="L59" i="1"/>
  <c r="D59" i="1"/>
  <c r="K58" i="1"/>
  <c r="C58" i="1"/>
  <c r="J57" i="1"/>
  <c r="B57" i="1"/>
  <c r="I56" i="1"/>
  <c r="P55" i="1"/>
  <c r="H55" i="1"/>
  <c r="O54" i="1"/>
  <c r="G54" i="1"/>
  <c r="N53" i="1"/>
  <c r="F53" i="1"/>
  <c r="M52" i="1"/>
  <c r="E52" i="1"/>
  <c r="L51" i="1"/>
  <c r="D51" i="1"/>
  <c r="K50" i="1"/>
  <c r="C50" i="1"/>
  <c r="J49" i="1"/>
  <c r="B49" i="1"/>
  <c r="I48" i="1"/>
  <c r="P47" i="1"/>
  <c r="H47" i="1"/>
  <c r="O46" i="1"/>
  <c r="G46" i="1"/>
  <c r="N45" i="1"/>
  <c r="F45" i="1"/>
  <c r="M44" i="1"/>
  <c r="E44" i="1"/>
  <c r="L43" i="1"/>
  <c r="D43" i="1"/>
  <c r="K42" i="1"/>
  <c r="C42" i="1"/>
  <c r="J41" i="1"/>
  <c r="B41" i="1"/>
  <c r="I40" i="1"/>
  <c r="P39" i="1"/>
  <c r="H39" i="1"/>
  <c r="O38" i="1"/>
  <c r="G38" i="1"/>
  <c r="B38" i="1"/>
  <c r="M37" i="1"/>
  <c r="I37" i="1"/>
  <c r="E37" i="1"/>
  <c r="P36" i="1"/>
  <c r="L36" i="1"/>
  <c r="H36" i="1"/>
  <c r="D36" i="1"/>
  <c r="O35" i="1"/>
  <c r="K35" i="1"/>
  <c r="G35" i="1"/>
  <c r="C35" i="1"/>
  <c r="N34" i="1"/>
  <c r="J34" i="1"/>
  <c r="F34" i="1"/>
  <c r="B34" i="1"/>
  <c r="M33" i="1"/>
  <c r="I33" i="1"/>
  <c r="E33" i="1"/>
  <c r="P32" i="1"/>
  <c r="L32" i="1"/>
  <c r="H32" i="1"/>
  <c r="D32" i="1"/>
  <c r="O31" i="1"/>
  <c r="K31" i="1"/>
  <c r="G31" i="1"/>
  <c r="C31" i="1"/>
  <c r="N30" i="1"/>
  <c r="J30" i="1"/>
  <c r="F30" i="1"/>
  <c r="B30" i="1"/>
  <c r="M29" i="1"/>
  <c r="I29" i="1"/>
  <c r="E29" i="1"/>
  <c r="P28" i="1"/>
  <c r="L28" i="1"/>
  <c r="H28" i="1"/>
  <c r="D28" i="1"/>
  <c r="O27" i="1"/>
  <c r="K27" i="1"/>
  <c r="G27" i="1"/>
  <c r="C27" i="1"/>
  <c r="N26" i="1"/>
  <c r="J26" i="1"/>
  <c r="F26" i="1"/>
  <c r="B26" i="1"/>
  <c r="M25" i="1"/>
  <c r="I25" i="1"/>
  <c r="E25" i="1"/>
  <c r="P24" i="1"/>
  <c r="L24" i="1"/>
  <c r="H24" i="1"/>
  <c r="D24" i="1"/>
  <c r="O23" i="1"/>
  <c r="K23" i="1"/>
  <c r="G23" i="1"/>
  <c r="C23" i="1"/>
  <c r="N22" i="1"/>
  <c r="J22" i="1"/>
  <c r="F22" i="1"/>
  <c r="B22" i="1"/>
  <c r="M21" i="1"/>
  <c r="I21" i="1"/>
  <c r="E21" i="1"/>
  <c r="P20" i="1"/>
  <c r="L20" i="1"/>
  <c r="H20" i="1"/>
  <c r="H303" i="1"/>
  <c r="F269" i="1"/>
  <c r="D253" i="1"/>
  <c r="K244" i="1"/>
  <c r="C236" i="1"/>
  <c r="J227" i="1"/>
  <c r="B219" i="1"/>
  <c r="I210" i="1"/>
  <c r="P201" i="1"/>
  <c r="H193" i="1"/>
  <c r="O184" i="1"/>
  <c r="G176" i="1"/>
  <c r="N167" i="1"/>
  <c r="F159" i="1"/>
  <c r="M150" i="1"/>
  <c r="E142" i="1"/>
  <c r="N138" i="1"/>
  <c r="L136" i="1"/>
  <c r="J134" i="1"/>
  <c r="H132" i="1"/>
  <c r="F130" i="1"/>
  <c r="D128" i="1"/>
  <c r="J126" i="1"/>
  <c r="E125" i="1"/>
  <c r="O123" i="1"/>
  <c r="F122" i="1"/>
  <c r="P120" i="1"/>
  <c r="K119" i="1"/>
  <c r="B118" i="1"/>
  <c r="L116" i="1"/>
  <c r="G115" i="1"/>
  <c r="M113" i="1"/>
  <c r="H112" i="1"/>
  <c r="C111" i="1"/>
  <c r="I109" i="1"/>
  <c r="D108" i="1"/>
  <c r="N106" i="1"/>
  <c r="E105" i="1"/>
  <c r="H104" i="1"/>
  <c r="L103" i="1"/>
  <c r="O102" i="1"/>
  <c r="F102" i="1"/>
  <c r="J101" i="1"/>
  <c r="M100" i="1"/>
  <c r="D100" i="1"/>
  <c r="H99" i="1"/>
  <c r="K98" i="1"/>
  <c r="B98" i="1"/>
  <c r="F97" i="1"/>
  <c r="I96" i="1"/>
  <c r="O95" i="1"/>
  <c r="D95" i="1"/>
  <c r="G94" i="1"/>
  <c r="M93" i="1"/>
  <c r="B93" i="1"/>
  <c r="E92" i="1"/>
  <c r="K91" i="1"/>
  <c r="O90" i="1"/>
  <c r="C90" i="1"/>
  <c r="I89" i="1"/>
  <c r="M88" i="1"/>
  <c r="P87" i="1"/>
  <c r="G87" i="1"/>
  <c r="K86" i="1"/>
  <c r="N85" i="1"/>
  <c r="E85" i="1"/>
  <c r="I84" i="1"/>
  <c r="L83" i="1"/>
  <c r="C83" i="1"/>
  <c r="G82" i="1"/>
  <c r="J81" i="1"/>
  <c r="P80" i="1"/>
  <c r="E80" i="1"/>
  <c r="H79" i="1"/>
  <c r="N78" i="1"/>
  <c r="C78" i="1"/>
  <c r="F77" i="1"/>
  <c r="L76" i="1"/>
  <c r="P75" i="1"/>
  <c r="D75" i="1"/>
  <c r="J74" i="1"/>
  <c r="N73" i="1"/>
  <c r="B73" i="1"/>
  <c r="H72" i="1"/>
  <c r="L71" i="1"/>
  <c r="D71" i="1"/>
  <c r="K70" i="1"/>
  <c r="C70" i="1"/>
  <c r="J69" i="1"/>
  <c r="B69" i="1"/>
  <c r="I68" i="1"/>
  <c r="P67" i="1"/>
  <c r="H67" i="1"/>
  <c r="O66" i="1"/>
  <c r="G66" i="1"/>
  <c r="N65" i="1"/>
  <c r="F65" i="1"/>
  <c r="M64" i="1"/>
  <c r="E64" i="1"/>
  <c r="L63" i="1"/>
  <c r="D63" i="1"/>
  <c r="K62" i="1"/>
  <c r="C62" i="1"/>
  <c r="J61" i="1"/>
  <c r="B61" i="1"/>
  <c r="I60" i="1"/>
  <c r="P59" i="1"/>
  <c r="H59" i="1"/>
  <c r="O58" i="1"/>
  <c r="G58" i="1"/>
  <c r="N57" i="1"/>
  <c r="F57" i="1"/>
  <c r="M56" i="1"/>
  <c r="E56" i="1"/>
  <c r="L55" i="1"/>
  <c r="D55" i="1"/>
  <c r="K54" i="1"/>
  <c r="C54" i="1"/>
  <c r="J53" i="1"/>
  <c r="B53" i="1"/>
  <c r="I52" i="1"/>
  <c r="P51" i="1"/>
  <c r="H51" i="1"/>
  <c r="O50" i="1"/>
  <c r="G50" i="1"/>
  <c r="N49" i="1"/>
  <c r="F49" i="1"/>
  <c r="M48" i="1"/>
  <c r="E48" i="1"/>
  <c r="L47" i="1"/>
  <c r="D47" i="1"/>
  <c r="K46" i="1"/>
  <c r="C46" i="1"/>
  <c r="J45" i="1"/>
  <c r="B45" i="1"/>
  <c r="I44" i="1"/>
  <c r="P43" i="1"/>
  <c r="H43" i="1"/>
  <c r="O42" i="1"/>
  <c r="G42" i="1"/>
  <c r="N41" i="1"/>
  <c r="F41" i="1"/>
  <c r="M40" i="1"/>
  <c r="E40" i="1"/>
  <c r="L39" i="1"/>
  <c r="D39" i="1"/>
  <c r="K38" i="1"/>
  <c r="D38" i="1"/>
  <c r="O37" i="1"/>
  <c r="K37" i="1"/>
  <c r="G37" i="1"/>
  <c r="C37" i="1"/>
  <c r="N36" i="1"/>
  <c r="J36" i="1"/>
  <c r="F36" i="1"/>
  <c r="B36" i="1"/>
  <c r="M35" i="1"/>
  <c r="I35" i="1"/>
  <c r="E35" i="1"/>
  <c r="P34" i="1"/>
  <c r="L34" i="1"/>
  <c r="H34" i="1"/>
  <c r="D34" i="1"/>
  <c r="O33" i="1"/>
  <c r="K33" i="1"/>
  <c r="G33" i="1"/>
  <c r="C33" i="1"/>
  <c r="N32" i="1"/>
  <c r="J32" i="1"/>
  <c r="F32" i="1"/>
  <c r="B32" i="1"/>
  <c r="M31" i="1"/>
  <c r="I31" i="1"/>
  <c r="E31" i="1"/>
  <c r="P30" i="1"/>
  <c r="L30" i="1"/>
  <c r="H30" i="1"/>
  <c r="D30" i="1"/>
  <c r="O29" i="1"/>
  <c r="K29" i="1"/>
  <c r="G29" i="1"/>
  <c r="C29" i="1"/>
  <c r="N28" i="1"/>
  <c r="J28" i="1"/>
  <c r="F28" i="1"/>
  <c r="B28" i="1"/>
  <c r="M27" i="1"/>
  <c r="I27" i="1"/>
  <c r="E27" i="1"/>
  <c r="P26" i="1"/>
  <c r="L26" i="1"/>
  <c r="H26" i="1"/>
  <c r="D26" i="1"/>
  <c r="O25" i="1"/>
  <c r="K25" i="1"/>
  <c r="G25" i="1"/>
  <c r="C25" i="1"/>
  <c r="N24" i="1"/>
  <c r="J24" i="1"/>
  <c r="F24" i="1"/>
  <c r="B24" i="1"/>
  <c r="M23" i="1"/>
  <c r="I23" i="1"/>
  <c r="E23" i="1"/>
  <c r="P22" i="1"/>
  <c r="L22" i="1"/>
  <c r="H22" i="1"/>
  <c r="D22" i="1"/>
  <c r="O21" i="1"/>
  <c r="K21" i="1"/>
  <c r="G21" i="1"/>
  <c r="C21" i="1"/>
  <c r="N20" i="1"/>
  <c r="J20" i="1"/>
  <c r="F20" i="1"/>
  <c r="B20" i="1"/>
  <c r="M19" i="1"/>
  <c r="I19" i="1"/>
  <c r="E19" i="1"/>
  <c r="P18" i="1"/>
  <c r="L18" i="1"/>
  <c r="H18" i="1"/>
  <c r="D18" i="1"/>
  <c r="O17" i="1"/>
  <c r="K17" i="1"/>
  <c r="G17" i="1"/>
  <c r="C17" i="1"/>
  <c r="N16" i="1"/>
  <c r="J16" i="1"/>
  <c r="F16" i="1"/>
  <c r="B16" i="1"/>
  <c r="M15" i="1"/>
  <c r="I15" i="1"/>
  <c r="E15" i="1"/>
  <c r="P14" i="1"/>
  <c r="L14" i="1"/>
  <c r="H14" i="1"/>
  <c r="D14" i="1"/>
  <c r="O13" i="1"/>
  <c r="K13" i="1"/>
  <c r="G13" i="1"/>
  <c r="C13" i="1"/>
  <c r="N12" i="1"/>
  <c r="J12" i="1"/>
  <c r="F12" i="1"/>
  <c r="B12" i="1"/>
  <c r="M11" i="1"/>
  <c r="I11" i="1"/>
  <c r="E11" i="1"/>
  <c r="P10" i="1"/>
  <c r="L10" i="1"/>
  <c r="H10" i="1"/>
  <c r="D10" i="1"/>
  <c r="O9" i="1"/>
  <c r="K9" i="1"/>
  <c r="H315" i="1"/>
  <c r="F255" i="1"/>
  <c r="E238" i="1"/>
  <c r="D221" i="1"/>
  <c r="C204" i="1"/>
  <c r="B187" i="1"/>
  <c r="P169" i="1"/>
  <c r="O152" i="1"/>
  <c r="G139" i="1"/>
  <c r="C135" i="1"/>
  <c r="N130" i="1"/>
  <c r="C127" i="1"/>
  <c r="D124" i="1"/>
  <c r="E121" i="1"/>
  <c r="J118" i="1"/>
  <c r="K115" i="1"/>
  <c r="L112" i="1"/>
  <c r="B110" i="1"/>
  <c r="C107" i="1"/>
  <c r="I104" i="1"/>
  <c r="D103" i="1"/>
  <c r="M101" i="1"/>
  <c r="E100" i="1"/>
  <c r="O98" i="1"/>
  <c r="I97" i="1"/>
  <c r="P95" i="1"/>
  <c r="K94" i="1"/>
  <c r="E93" i="1"/>
  <c r="L91" i="1"/>
  <c r="G90" i="1"/>
  <c r="P88" i="1"/>
  <c r="H87" i="1"/>
  <c r="C86" i="1"/>
  <c r="L84" i="1"/>
  <c r="D83" i="1"/>
  <c r="N81" i="1"/>
  <c r="H80" i="1"/>
  <c r="O78" i="1"/>
  <c r="J77" i="1"/>
  <c r="D76" i="1"/>
  <c r="K74" i="1"/>
  <c r="F73" i="1"/>
  <c r="O71" i="1"/>
  <c r="N70" i="1"/>
  <c r="M69" i="1"/>
  <c r="L68" i="1"/>
  <c r="K67" i="1"/>
  <c r="J66" i="1"/>
  <c r="I65" i="1"/>
  <c r="H64" i="1"/>
  <c r="G63" i="1"/>
  <c r="F62" i="1"/>
  <c r="E61" i="1"/>
  <c r="D60" i="1"/>
  <c r="C59" i="1"/>
  <c r="B58" i="1"/>
  <c r="P56" i="1"/>
  <c r="O55" i="1"/>
  <c r="N54" i="1"/>
  <c r="M53" i="1"/>
  <c r="L52" i="1"/>
  <c r="K51" i="1"/>
  <c r="J50" i="1"/>
  <c r="I49" i="1"/>
  <c r="H48" i="1"/>
  <c r="G47" i="1"/>
  <c r="F46" i="1"/>
  <c r="E45" i="1"/>
  <c r="D44" i="1"/>
  <c r="C43" i="1"/>
  <c r="B42" i="1"/>
  <c r="P40" i="1"/>
  <c r="O39" i="1"/>
  <c r="N38" i="1"/>
  <c r="P37" i="1"/>
  <c r="H37" i="1"/>
  <c r="O36" i="1"/>
  <c r="G36" i="1"/>
  <c r="N35" i="1"/>
  <c r="F35" i="1"/>
  <c r="M34" i="1"/>
  <c r="E34" i="1"/>
  <c r="L33" i="1"/>
  <c r="D33" i="1"/>
  <c r="K32" i="1"/>
  <c r="C32" i="1"/>
  <c r="J31" i="1"/>
  <c r="B31" i="1"/>
  <c r="I30" i="1"/>
  <c r="P29" i="1"/>
  <c r="H29" i="1"/>
  <c r="O28" i="1"/>
  <c r="G28" i="1"/>
  <c r="N27" i="1"/>
  <c r="F27" i="1"/>
  <c r="M26" i="1"/>
  <c r="E26" i="1"/>
  <c r="L25" i="1"/>
  <c r="D25" i="1"/>
  <c r="K24" i="1"/>
  <c r="C24" i="1"/>
  <c r="J23" i="1"/>
  <c r="B23" i="1"/>
  <c r="I22" i="1"/>
  <c r="P21" i="1"/>
  <c r="H21" i="1"/>
  <c r="O20" i="1"/>
  <c r="G20" i="1"/>
  <c r="P19" i="1"/>
  <c r="K19" i="1"/>
  <c r="F19" i="1"/>
  <c r="O18" i="1"/>
  <c r="J18" i="1"/>
  <c r="E18" i="1"/>
  <c r="N17" i="1"/>
  <c r="I17" i="1"/>
  <c r="D17" i="1"/>
  <c r="M16" i="1"/>
  <c r="H16" i="1"/>
  <c r="C16" i="1"/>
  <c r="L15" i="1"/>
  <c r="G15" i="1"/>
  <c r="B15" i="1"/>
  <c r="K14" i="1"/>
  <c r="F14" i="1"/>
  <c r="P13" i="1"/>
  <c r="J13" i="1"/>
  <c r="E13" i="1"/>
  <c r="O12" i="1"/>
  <c r="I12" i="1"/>
  <c r="D12" i="1"/>
  <c r="N11" i="1"/>
  <c r="H11" i="1"/>
  <c r="C11" i="1"/>
  <c r="M10" i="1"/>
  <c r="G10" i="1"/>
  <c r="B10" i="1"/>
  <c r="L9" i="1"/>
  <c r="G9" i="1"/>
  <c r="C9" i="1"/>
  <c r="N8" i="1"/>
  <c r="J8" i="1"/>
  <c r="F8" i="1"/>
  <c r="B8" i="1"/>
  <c r="M7" i="1"/>
  <c r="I7" i="1"/>
  <c r="E7" i="1"/>
  <c r="P6" i="1"/>
  <c r="L6" i="1"/>
  <c r="H6" i="1"/>
  <c r="D6" i="1"/>
  <c r="O5" i="1"/>
  <c r="K5" i="1"/>
  <c r="G5" i="1"/>
  <c r="C5" i="1"/>
  <c r="N4" i="1"/>
  <c r="J4" i="1"/>
  <c r="F4" i="1"/>
  <c r="B4" i="1"/>
  <c r="O294" i="1"/>
  <c r="B251" i="1"/>
  <c r="P233" i="1"/>
  <c r="O216" i="1"/>
  <c r="N199" i="1"/>
  <c r="M182" i="1"/>
  <c r="L165" i="1"/>
  <c r="K148" i="1"/>
  <c r="F138" i="1"/>
  <c r="B134" i="1"/>
  <c r="M129" i="1"/>
  <c r="F126" i="1"/>
  <c r="G123" i="1"/>
  <c r="L120" i="1"/>
  <c r="M117" i="1"/>
  <c r="N114" i="1"/>
  <c r="D112" i="1"/>
  <c r="E109" i="1"/>
  <c r="F106" i="1"/>
  <c r="E104" i="1"/>
  <c r="N102" i="1"/>
  <c r="F101" i="1"/>
  <c r="P99" i="1"/>
  <c r="J98" i="1"/>
  <c r="B97" i="1"/>
  <c r="L95" i="1"/>
  <c r="F94" i="1"/>
  <c r="M92" i="1"/>
  <c r="H91" i="1"/>
  <c r="B90" i="1"/>
  <c r="I88" i="1"/>
  <c r="D87" i="1"/>
  <c r="M85" i="1"/>
  <c r="E84" i="1"/>
  <c r="O82" i="1"/>
  <c r="I81" i="1"/>
  <c r="P79" i="1"/>
  <c r="K78" i="1"/>
  <c r="E77" i="1"/>
  <c r="L75" i="1"/>
  <c r="G74" i="1"/>
  <c r="P72" i="1"/>
  <c r="K71" i="1"/>
  <c r="J70" i="1"/>
  <c r="I69" i="1"/>
  <c r="H68" i="1"/>
  <c r="G67" i="1"/>
  <c r="F66" i="1"/>
  <c r="E65" i="1"/>
  <c r="D64" i="1"/>
  <c r="C63" i="1"/>
  <c r="B62" i="1"/>
  <c r="P60" i="1"/>
  <c r="O59" i="1"/>
  <c r="N58" i="1"/>
  <c r="M57" i="1"/>
  <c r="L56" i="1"/>
  <c r="K55" i="1"/>
  <c r="J54" i="1"/>
  <c r="I53" i="1"/>
  <c r="H52" i="1"/>
  <c r="G51" i="1"/>
  <c r="F50" i="1"/>
  <c r="E49" i="1"/>
  <c r="D48" i="1"/>
  <c r="C47" i="1"/>
  <c r="B46" i="1"/>
  <c r="P44" i="1"/>
  <c r="O43" i="1"/>
  <c r="N42" i="1"/>
  <c r="M41" i="1"/>
  <c r="L40" i="1"/>
  <c r="K39" i="1"/>
  <c r="J38" i="1"/>
  <c r="N37" i="1"/>
  <c r="F37" i="1"/>
  <c r="M36" i="1"/>
  <c r="E36" i="1"/>
  <c r="L35" i="1"/>
  <c r="D35" i="1"/>
  <c r="K34" i="1"/>
  <c r="C34" i="1"/>
  <c r="J33" i="1"/>
  <c r="B33" i="1"/>
  <c r="I32" i="1"/>
  <c r="P31" i="1"/>
  <c r="H31" i="1"/>
  <c r="O30" i="1"/>
  <c r="G30" i="1"/>
  <c r="N29" i="1"/>
  <c r="F29" i="1"/>
  <c r="M28" i="1"/>
  <c r="E28" i="1"/>
  <c r="L27" i="1"/>
  <c r="D27" i="1"/>
  <c r="K26" i="1"/>
  <c r="C26" i="1"/>
  <c r="J25" i="1"/>
  <c r="B25" i="1"/>
  <c r="I24" i="1"/>
  <c r="P23" i="1"/>
  <c r="H23" i="1"/>
  <c r="O22" i="1"/>
  <c r="G22" i="1"/>
  <c r="N21" i="1"/>
  <c r="F21" i="1"/>
  <c r="M20" i="1"/>
  <c r="E20" i="1"/>
  <c r="O19" i="1"/>
  <c r="J19" i="1"/>
  <c r="D19" i="1"/>
  <c r="N18" i="1"/>
  <c r="I18" i="1"/>
  <c r="C18" i="1"/>
  <c r="M17" i="1"/>
  <c r="H17" i="1"/>
  <c r="B17" i="1"/>
  <c r="L16" i="1"/>
  <c r="G16" i="1"/>
  <c r="P15" i="1"/>
  <c r="K15" i="1"/>
  <c r="F15" i="1"/>
  <c r="O14" i="1"/>
  <c r="J14" i="1"/>
  <c r="E14" i="1"/>
  <c r="N13" i="1"/>
  <c r="I13" i="1"/>
  <c r="D13" i="1"/>
  <c r="M12" i="1"/>
  <c r="H12" i="1"/>
  <c r="C12" i="1"/>
  <c r="L11" i="1"/>
  <c r="G11" i="1"/>
  <c r="B11" i="1"/>
  <c r="K10" i="1"/>
  <c r="F10" i="1"/>
  <c r="P9" i="1"/>
  <c r="J9" i="1"/>
  <c r="F9" i="1"/>
  <c r="B9" i="1"/>
  <c r="M8" i="1"/>
  <c r="I8" i="1"/>
  <c r="E8" i="1"/>
  <c r="P7" i="1"/>
  <c r="L7" i="1"/>
  <c r="H7" i="1"/>
  <c r="D7" i="1"/>
  <c r="K6" i="1"/>
  <c r="G6" i="1"/>
  <c r="N5" i="1"/>
  <c r="F5" i="1"/>
  <c r="M4" i="1"/>
  <c r="E4" i="1"/>
  <c r="N277" i="1"/>
  <c r="M246" i="1"/>
  <c r="L229" i="1"/>
  <c r="K212" i="1"/>
  <c r="J195" i="1"/>
  <c r="I178" i="1"/>
  <c r="H161" i="1"/>
  <c r="G144" i="1"/>
  <c r="E137" i="1"/>
  <c r="P132" i="1"/>
  <c r="L128" i="1"/>
  <c r="I125" i="1"/>
  <c r="N122" i="1"/>
  <c r="O119" i="1"/>
  <c r="P116" i="1"/>
  <c r="F114" i="1"/>
  <c r="G111" i="1"/>
  <c r="H108" i="1"/>
  <c r="M105" i="1"/>
  <c r="O103" i="1"/>
  <c r="G102" i="1"/>
  <c r="B101" i="1"/>
  <c r="K99" i="1"/>
  <c r="C98" i="1"/>
  <c r="M96" i="1"/>
  <c r="G95" i="1"/>
  <c r="N93" i="1"/>
  <c r="I92" i="1"/>
  <c r="C91" i="1"/>
  <c r="J89" i="1"/>
  <c r="E88" i="1"/>
  <c r="N86" i="1"/>
  <c r="F85" i="1"/>
  <c r="P83" i="1"/>
  <c r="J82" i="1"/>
  <c r="B81" i="1"/>
  <c r="L79" i="1"/>
  <c r="F78" i="1"/>
  <c r="M76" i="1"/>
  <c r="H75" i="1"/>
  <c r="B74" i="1"/>
  <c r="I72" i="1"/>
  <c r="G71" i="1"/>
  <c r="F70" i="1"/>
  <c r="E69" i="1"/>
  <c r="D68" i="1"/>
  <c r="C67" i="1"/>
  <c r="B66" i="1"/>
  <c r="P64" i="1"/>
  <c r="O63" i="1"/>
  <c r="N62" i="1"/>
  <c r="M61" i="1"/>
  <c r="L60" i="1"/>
  <c r="K59" i="1"/>
  <c r="J58" i="1"/>
  <c r="I57" i="1"/>
  <c r="H56" i="1"/>
  <c r="G55" i="1"/>
  <c r="F54" i="1"/>
  <c r="E53" i="1"/>
  <c r="D52" i="1"/>
  <c r="C51" i="1"/>
  <c r="B50" i="1"/>
  <c r="P48" i="1"/>
  <c r="O47" i="1"/>
  <c r="N46" i="1"/>
  <c r="M45" i="1"/>
  <c r="L44" i="1"/>
  <c r="K43" i="1"/>
  <c r="J42" i="1"/>
  <c r="I41" i="1"/>
  <c r="H40" i="1"/>
  <c r="G39" i="1"/>
  <c r="F38" i="1"/>
  <c r="L37" i="1"/>
  <c r="D37" i="1"/>
  <c r="K36" i="1"/>
  <c r="C36" i="1"/>
  <c r="J35" i="1"/>
  <c r="B35" i="1"/>
  <c r="I34" i="1"/>
  <c r="P33" i="1"/>
  <c r="H33" i="1"/>
  <c r="O32" i="1"/>
  <c r="G32" i="1"/>
  <c r="N31" i="1"/>
  <c r="F31" i="1"/>
  <c r="M30" i="1"/>
  <c r="E30" i="1"/>
  <c r="L29" i="1"/>
  <c r="D29" i="1"/>
  <c r="K28" i="1"/>
  <c r="C28" i="1"/>
  <c r="J27" i="1"/>
  <c r="B27" i="1"/>
  <c r="I26" i="1"/>
  <c r="P25" i="1"/>
  <c r="H25" i="1"/>
  <c r="O24" i="1"/>
  <c r="G24" i="1"/>
  <c r="N23" i="1"/>
  <c r="F23" i="1"/>
  <c r="M22" i="1"/>
  <c r="E22" i="1"/>
  <c r="L21" i="1"/>
  <c r="D21" i="1"/>
  <c r="K20" i="1"/>
  <c r="D20" i="1"/>
  <c r="N19" i="1"/>
  <c r="H19" i="1"/>
  <c r="C19" i="1"/>
  <c r="M18" i="1"/>
  <c r="G18" i="1"/>
  <c r="B18" i="1"/>
  <c r="L17" i="1"/>
  <c r="F17" i="1"/>
  <c r="P16" i="1"/>
  <c r="K16" i="1"/>
  <c r="E16" i="1"/>
  <c r="O15" i="1"/>
  <c r="J15" i="1"/>
  <c r="D15" i="1"/>
  <c r="N14" i="1"/>
  <c r="I14" i="1"/>
  <c r="C14" i="1"/>
  <c r="M13" i="1"/>
  <c r="H13" i="1"/>
  <c r="B13" i="1"/>
  <c r="L12" i="1"/>
  <c r="G12" i="1"/>
  <c r="P11" i="1"/>
  <c r="K11" i="1"/>
  <c r="F11" i="1"/>
  <c r="O10" i="1"/>
  <c r="J10" i="1"/>
  <c r="E10" i="1"/>
  <c r="N9" i="1"/>
  <c r="I9" i="1"/>
  <c r="E9" i="1"/>
  <c r="P8" i="1"/>
  <c r="L8" i="1"/>
  <c r="H8" i="1"/>
  <c r="D8" i="1"/>
  <c r="O7" i="1"/>
  <c r="K7" i="1"/>
  <c r="G7" i="1"/>
  <c r="C7" i="1"/>
  <c r="N6" i="1"/>
  <c r="J6" i="1"/>
  <c r="F6" i="1"/>
  <c r="B6" i="1"/>
  <c r="M5" i="1"/>
  <c r="I5" i="1"/>
  <c r="E5" i="1"/>
  <c r="P4" i="1"/>
  <c r="L4" i="1"/>
  <c r="H4" i="1"/>
  <c r="D4" i="1"/>
  <c r="M260" i="1"/>
  <c r="I242" i="1"/>
  <c r="H225" i="1"/>
  <c r="G208" i="1"/>
  <c r="F191" i="1"/>
  <c r="E174" i="1"/>
  <c r="D157" i="1"/>
  <c r="J140" i="1"/>
  <c r="D136" i="1"/>
  <c r="O131" i="1"/>
  <c r="K127" i="1"/>
  <c r="P124" i="1"/>
  <c r="B122" i="1"/>
  <c r="C119" i="1"/>
  <c r="H116" i="1"/>
  <c r="I113" i="1"/>
  <c r="J110" i="1"/>
  <c r="O107" i="1"/>
  <c r="P104" i="1"/>
  <c r="H103" i="1"/>
  <c r="C102" i="1"/>
  <c r="L100" i="1"/>
  <c r="D99" i="1"/>
  <c r="N97" i="1"/>
  <c r="H96" i="1"/>
  <c r="O94" i="1"/>
  <c r="J93" i="1"/>
  <c r="D92" i="1"/>
  <c r="K90" i="1"/>
  <c r="F89" i="1"/>
  <c r="O87" i="1"/>
  <c r="G86" i="1"/>
  <c r="B85" i="1"/>
  <c r="K83" i="1"/>
  <c r="C82" i="1"/>
  <c r="M80" i="1"/>
  <c r="G79" i="1"/>
  <c r="N77" i="1"/>
  <c r="I76" i="1"/>
  <c r="C75" i="1"/>
  <c r="J73" i="1"/>
  <c r="E72" i="1"/>
  <c r="C71" i="1"/>
  <c r="B70" i="1"/>
  <c r="P68" i="1"/>
  <c r="O67" i="1"/>
  <c r="N66" i="1"/>
  <c r="M65" i="1"/>
  <c r="L64" i="1"/>
  <c r="K63" i="1"/>
  <c r="J62" i="1"/>
  <c r="I61" i="1"/>
  <c r="H60" i="1"/>
  <c r="G59" i="1"/>
  <c r="F58" i="1"/>
  <c r="E57" i="1"/>
  <c r="D56" i="1"/>
  <c r="C55" i="1"/>
  <c r="B54" i="1"/>
  <c r="P52" i="1"/>
  <c r="O51" i="1"/>
  <c r="N50" i="1"/>
  <c r="M49" i="1"/>
  <c r="L48" i="1"/>
  <c r="K47" i="1"/>
  <c r="J46" i="1"/>
  <c r="I45" i="1"/>
  <c r="H44" i="1"/>
  <c r="G43" i="1"/>
  <c r="F42" i="1"/>
  <c r="E41" i="1"/>
  <c r="D40" i="1"/>
  <c r="C39" i="1"/>
  <c r="C38" i="1"/>
  <c r="J37" i="1"/>
  <c r="B37" i="1"/>
  <c r="I36" i="1"/>
  <c r="P35" i="1"/>
  <c r="H35" i="1"/>
  <c r="O34" i="1"/>
  <c r="G34" i="1"/>
  <c r="N33" i="1"/>
  <c r="F33" i="1"/>
  <c r="M32" i="1"/>
  <c r="E32" i="1"/>
  <c r="L31" i="1"/>
  <c r="D31" i="1"/>
  <c r="K30" i="1"/>
  <c r="C30" i="1"/>
  <c r="J29" i="1"/>
  <c r="B29" i="1"/>
  <c r="I28" i="1"/>
  <c r="P27" i="1"/>
  <c r="H27" i="1"/>
  <c r="O26" i="1"/>
  <c r="G26" i="1"/>
  <c r="N25" i="1"/>
  <c r="F25" i="1"/>
  <c r="M24" i="1"/>
  <c r="E24" i="1"/>
  <c r="L23" i="1"/>
  <c r="D23" i="1"/>
  <c r="K22" i="1"/>
  <c r="C22" i="1"/>
  <c r="J21" i="1"/>
  <c r="B21" i="1"/>
  <c r="I20" i="1"/>
  <c r="C20" i="1"/>
  <c r="L19" i="1"/>
  <c r="G19" i="1"/>
  <c r="B19" i="1"/>
  <c r="K18" i="1"/>
  <c r="F18" i="1"/>
  <c r="P17" i="1"/>
  <c r="J17" i="1"/>
  <c r="E17" i="1"/>
  <c r="O16" i="1"/>
  <c r="I16" i="1"/>
  <c r="D16" i="1"/>
  <c r="N15" i="1"/>
  <c r="H15" i="1"/>
  <c r="C15" i="1"/>
  <c r="M14" i="1"/>
  <c r="G14" i="1"/>
  <c r="B14" i="1"/>
  <c r="L13" i="1"/>
  <c r="F13" i="1"/>
  <c r="P12" i="1"/>
  <c r="K12" i="1"/>
  <c r="E12" i="1"/>
  <c r="O11" i="1"/>
  <c r="J11" i="1"/>
  <c r="D11" i="1"/>
  <c r="N10" i="1"/>
  <c r="I10" i="1"/>
  <c r="C10" i="1"/>
  <c r="M9" i="1"/>
  <c r="H9" i="1"/>
  <c r="D9" i="1"/>
  <c r="O8" i="1"/>
  <c r="K8" i="1"/>
  <c r="G8" i="1"/>
  <c r="C8" i="1"/>
  <c r="N7" i="1"/>
  <c r="J7" i="1"/>
  <c r="F7" i="1"/>
  <c r="B7" i="1"/>
  <c r="M6" i="1"/>
  <c r="I6" i="1"/>
  <c r="E6" i="1"/>
  <c r="P5" i="1"/>
  <c r="L5" i="1"/>
  <c r="H5" i="1"/>
  <c r="D5" i="1"/>
  <c r="O4" i="1"/>
  <c r="K4" i="1"/>
  <c r="G4" i="1"/>
  <c r="C4" i="1"/>
  <c r="O6" i="1"/>
  <c r="C6" i="1"/>
  <c r="J5" i="1"/>
  <c r="B5" i="1"/>
  <c r="I4" i="1"/>
</calcChain>
</file>

<file path=xl/sharedStrings.xml><?xml version="1.0" encoding="utf-8"?>
<sst xmlns="http://schemas.openxmlformats.org/spreadsheetml/2006/main" count="516" uniqueCount="516">
  <si>
    <t>Quote on 11/17/17 12:20:15</t>
  </si>
  <si>
    <t>Quotes</t>
  </si>
  <si>
    <t>Symbol</t>
  </si>
  <si>
    <t>Last</t>
  </si>
  <si>
    <t>Quote Trend</t>
  </si>
  <si>
    <t>Net Chng</t>
  </si>
  <si>
    <t>Bid</t>
  </si>
  <si>
    <t>Ask</t>
  </si>
  <si>
    <t>BS</t>
  </si>
  <si>
    <t>AS</t>
  </si>
  <si>
    <t>Volume</t>
  </si>
  <si>
    <t>Open</t>
  </si>
  <si>
    <t>High</t>
  </si>
  <si>
    <t>Low</t>
  </si>
  <si>
    <t>52High</t>
  </si>
  <si>
    <t>52Low</t>
  </si>
  <si>
    <t>DE</t>
  </si>
  <si>
    <t>C</t>
  </si>
  <si>
    <t>A</t>
  </si>
  <si>
    <t>AA</t>
  </si>
  <si>
    <t>AAPL</t>
  </si>
  <si>
    <t>ABBV</t>
  </si>
  <si>
    <t>ABC</t>
  </si>
  <si>
    <t>ABT</t>
  </si>
  <si>
    <t>ACE</t>
  </si>
  <si>
    <t>ACN</t>
  </si>
  <si>
    <t>ACT</t>
  </si>
  <si>
    <t>ADBE</t>
  </si>
  <si>
    <t>ADI</t>
  </si>
  <si>
    <t>ADM</t>
  </si>
  <si>
    <t>ADP</t>
  </si>
  <si>
    <t>ADSK</t>
  </si>
  <si>
    <t>ADT</t>
  </si>
  <si>
    <t>AEE</t>
  </si>
  <si>
    <t>AEP</t>
  </si>
  <si>
    <t>AES</t>
  </si>
  <si>
    <t>AET</t>
  </si>
  <si>
    <t>AFL</t>
  </si>
  <si>
    <t>AGN</t>
  </si>
  <si>
    <t>AIG</t>
  </si>
  <si>
    <t>AIV</t>
  </si>
  <si>
    <t>AIZ</t>
  </si>
  <si>
    <t>AKAM</t>
  </si>
  <si>
    <t>ALL</t>
  </si>
  <si>
    <t>ALTR</t>
  </si>
  <si>
    <t>ALXN</t>
  </si>
  <si>
    <t>AMAT</t>
  </si>
  <si>
    <t>AMD</t>
  </si>
  <si>
    <t>AMGN</t>
  </si>
  <si>
    <t>AMP</t>
  </si>
  <si>
    <t>AMT</t>
  </si>
  <si>
    <t>AMZN</t>
  </si>
  <si>
    <t>AN</t>
  </si>
  <si>
    <t>ANF</t>
  </si>
  <si>
    <t>AON</t>
  </si>
  <si>
    <t>APA</t>
  </si>
  <si>
    <t>APC</t>
  </si>
  <si>
    <t>APD</t>
  </si>
  <si>
    <t>APH</t>
  </si>
  <si>
    <t>APOL</t>
  </si>
  <si>
    <t>ARG</t>
  </si>
  <si>
    <t>ATI</t>
  </si>
  <si>
    <t>AVB</t>
  </si>
  <si>
    <t>AVP</t>
  </si>
  <si>
    <t>AVY</t>
  </si>
  <si>
    <t>AXP</t>
  </si>
  <si>
    <t>AZO</t>
  </si>
  <si>
    <t>BA</t>
  </si>
  <si>
    <t>BAC</t>
  </si>
  <si>
    <t>BAX</t>
  </si>
  <si>
    <t>BBBY</t>
  </si>
  <si>
    <t>BBT</t>
  </si>
  <si>
    <t>BBY</t>
  </si>
  <si>
    <t>BCR</t>
  </si>
  <si>
    <t>BDX</t>
  </si>
  <si>
    <t>BEAM</t>
  </si>
  <si>
    <t>BEN</t>
  </si>
  <si>
    <t>BF-B</t>
  </si>
  <si>
    <t>BHI</t>
  </si>
  <si>
    <t>BIIB</t>
  </si>
  <si>
    <t>BK</t>
  </si>
  <si>
    <t>BLK</t>
  </si>
  <si>
    <t>BLL</t>
  </si>
  <si>
    <t>BMC</t>
  </si>
  <si>
    <t>BMS</t>
  </si>
  <si>
    <t>BMY</t>
  </si>
  <si>
    <t>BRCM</t>
  </si>
  <si>
    <t>BRK-B</t>
  </si>
  <si>
    <t>BSX</t>
  </si>
  <si>
    <t>BTU</t>
  </si>
  <si>
    <t>BWA</t>
  </si>
  <si>
    <t>BXP</t>
  </si>
  <si>
    <t>CA</t>
  </si>
  <si>
    <t>CAG</t>
  </si>
  <si>
    <t>CAH</t>
  </si>
  <si>
    <t>CAM</t>
  </si>
  <si>
    <t>CAT</t>
  </si>
  <si>
    <t>CB</t>
  </si>
  <si>
    <t>CBG</t>
  </si>
  <si>
    <t>CBS</t>
  </si>
  <si>
    <t>CCE</t>
  </si>
  <si>
    <t>CCI</t>
  </si>
  <si>
    <t>CCL</t>
  </si>
  <si>
    <t>CELG</t>
  </si>
  <si>
    <t>CERN</t>
  </si>
  <si>
    <t>CF</t>
  </si>
  <si>
    <t>CFN</t>
  </si>
  <si>
    <t>CHK</t>
  </si>
  <si>
    <t>CHRW</t>
  </si>
  <si>
    <t>CI</t>
  </si>
  <si>
    <t>CINF</t>
  </si>
  <si>
    <t>CL</t>
  </si>
  <si>
    <t>CLF</t>
  </si>
  <si>
    <t>CLX</t>
  </si>
  <si>
    <t>CMA</t>
  </si>
  <si>
    <t>CMCSA</t>
  </si>
  <si>
    <t>CME</t>
  </si>
  <si>
    <t>CMG</t>
  </si>
  <si>
    <t>CMI</t>
  </si>
  <si>
    <t>CMS</t>
  </si>
  <si>
    <t>CNP</t>
  </si>
  <si>
    <t>CNX</t>
  </si>
  <si>
    <t>COF</t>
  </si>
  <si>
    <t>COG</t>
  </si>
  <si>
    <t>COH</t>
  </si>
  <si>
    <t>COL</t>
  </si>
  <si>
    <t>COP</t>
  </si>
  <si>
    <t>COST</t>
  </si>
  <si>
    <t>COV</t>
  </si>
  <si>
    <t>CPB</t>
  </si>
  <si>
    <t>CRM</t>
  </si>
  <si>
    <t>CSC</t>
  </si>
  <si>
    <t>CSCO</t>
  </si>
  <si>
    <t>CSX</t>
  </si>
  <si>
    <t>CTAS</t>
  </si>
  <si>
    <t>CTL</t>
  </si>
  <si>
    <t>CTSH</t>
  </si>
  <si>
    <t>CTXS</t>
  </si>
  <si>
    <t>CVC</t>
  </si>
  <si>
    <t>CVS</t>
  </si>
  <si>
    <t>CVX</t>
  </si>
  <si>
    <t>D</t>
  </si>
  <si>
    <t>DD</t>
  </si>
  <si>
    <t>DELL</t>
  </si>
  <si>
    <t>DF</t>
  </si>
  <si>
    <t>DFS</t>
  </si>
  <si>
    <t>DG</t>
  </si>
  <si>
    <t>DGX</t>
  </si>
  <si>
    <t>DHI</t>
  </si>
  <si>
    <t>DHR</t>
  </si>
  <si>
    <t>DIS</t>
  </si>
  <si>
    <t>DISCA</t>
  </si>
  <si>
    <t>DLPH</t>
  </si>
  <si>
    <t>DLTR</t>
  </si>
  <si>
    <t>DNB</t>
  </si>
  <si>
    <t>DNR</t>
  </si>
  <si>
    <t>DO</t>
  </si>
  <si>
    <t>DOV</t>
  </si>
  <si>
    <t>DOW</t>
  </si>
  <si>
    <t>DPS</t>
  </si>
  <si>
    <t>DRI</t>
  </si>
  <si>
    <t>DTE</t>
  </si>
  <si>
    <t>DTV</t>
  </si>
  <si>
    <t>DUK</t>
  </si>
  <si>
    <t>DVA</t>
  </si>
  <si>
    <t>DVN</t>
  </si>
  <si>
    <t>EA</t>
  </si>
  <si>
    <t>EBAY</t>
  </si>
  <si>
    <t>ECL</t>
  </si>
  <si>
    <t>ED</t>
  </si>
  <si>
    <t>EFX</t>
  </si>
  <si>
    <t>EIX</t>
  </si>
  <si>
    <t>EL</t>
  </si>
  <si>
    <t>EMC</t>
  </si>
  <si>
    <t>EMN</t>
  </si>
  <si>
    <t>EMR</t>
  </si>
  <si>
    <t>EOG</t>
  </si>
  <si>
    <t>EQR</t>
  </si>
  <si>
    <t>EQT</t>
  </si>
  <si>
    <t>ESRX</t>
  </si>
  <si>
    <t>ESV</t>
  </si>
  <si>
    <t>ETFC</t>
  </si>
  <si>
    <t>ETN</t>
  </si>
  <si>
    <t>ETR</t>
  </si>
  <si>
    <t>EW</t>
  </si>
  <si>
    <t>EXC</t>
  </si>
  <si>
    <t>EXPD</t>
  </si>
  <si>
    <t>EXPE</t>
  </si>
  <si>
    <t>F</t>
  </si>
  <si>
    <t>FAST</t>
  </si>
  <si>
    <t>FCX</t>
  </si>
  <si>
    <t>FDO</t>
  </si>
  <si>
    <t>FDX</t>
  </si>
  <si>
    <t>FE</t>
  </si>
  <si>
    <t>FFIV</t>
  </si>
  <si>
    <t>FHN</t>
  </si>
  <si>
    <t>FIS</t>
  </si>
  <si>
    <t>FISV</t>
  </si>
  <si>
    <t>FITB</t>
  </si>
  <si>
    <t>FLIR</t>
  </si>
  <si>
    <t>FLR</t>
  </si>
  <si>
    <t>FLS</t>
  </si>
  <si>
    <t>FMC</t>
  </si>
  <si>
    <t>FOSL</t>
  </si>
  <si>
    <t>FRX</t>
  </si>
  <si>
    <t>FSLR</t>
  </si>
  <si>
    <t>FTI</t>
  </si>
  <si>
    <t>FTR</t>
  </si>
  <si>
    <t>GAS</t>
  </si>
  <si>
    <t>GCI</t>
  </si>
  <si>
    <t>GD</t>
  </si>
  <si>
    <t>GE</t>
  </si>
  <si>
    <t>GILD</t>
  </si>
  <si>
    <t>GIS</t>
  </si>
  <si>
    <t>GLW</t>
  </si>
  <si>
    <t>GME</t>
  </si>
  <si>
    <t>GNW</t>
  </si>
  <si>
    <t>GOOG</t>
  </si>
  <si>
    <t>GPC</t>
  </si>
  <si>
    <t>GPS</t>
  </si>
  <si>
    <t>GRMN</t>
  </si>
  <si>
    <t>GS</t>
  </si>
  <si>
    <t>GT</t>
  </si>
  <si>
    <t>GWW</t>
  </si>
  <si>
    <t>HAL</t>
  </si>
  <si>
    <t>HAR</t>
  </si>
  <si>
    <t>HAS</t>
  </si>
  <si>
    <t>HBAN</t>
  </si>
  <si>
    <t>HCBK</t>
  </si>
  <si>
    <t>HCN</t>
  </si>
  <si>
    <t>HCP</t>
  </si>
  <si>
    <t>HD</t>
  </si>
  <si>
    <t>HES</t>
  </si>
  <si>
    <t>HIG</t>
  </si>
  <si>
    <t>HNZ</t>
  </si>
  <si>
    <t>HOG</t>
  </si>
  <si>
    <t>HON</t>
  </si>
  <si>
    <t>HOT</t>
  </si>
  <si>
    <t>HP</t>
  </si>
  <si>
    <t>HPQ</t>
  </si>
  <si>
    <t>HRB</t>
  </si>
  <si>
    <t>HRL</t>
  </si>
  <si>
    <t>HRS</t>
  </si>
  <si>
    <t>HSP</t>
  </si>
  <si>
    <t>HST</t>
  </si>
  <si>
    <t>HSY</t>
  </si>
  <si>
    <t>HUM</t>
  </si>
  <si>
    <t>IBM</t>
  </si>
  <si>
    <t>ICE</t>
  </si>
  <si>
    <t>IFF</t>
  </si>
  <si>
    <t>IGT</t>
  </si>
  <si>
    <t>INTC</t>
  </si>
  <si>
    <t>INTU</t>
  </si>
  <si>
    <t>IP</t>
  </si>
  <si>
    <t>IPG</t>
  </si>
  <si>
    <t>IR</t>
  </si>
  <si>
    <t>IRM</t>
  </si>
  <si>
    <t>ISRG</t>
  </si>
  <si>
    <t>ITW</t>
  </si>
  <si>
    <t>IVZ</t>
  </si>
  <si>
    <t>JBL</t>
  </si>
  <si>
    <t>JCI</t>
  </si>
  <si>
    <t>JCP</t>
  </si>
  <si>
    <t>JDSU</t>
  </si>
  <si>
    <t>JEC</t>
  </si>
  <si>
    <t>JNJ</t>
  </si>
  <si>
    <t>JNPR</t>
  </si>
  <si>
    <t>JOY</t>
  </si>
  <si>
    <t>JPM</t>
  </si>
  <si>
    <t>JWN</t>
  </si>
  <si>
    <t>K</t>
  </si>
  <si>
    <t>KEY</t>
  </si>
  <si>
    <t>KIM</t>
  </si>
  <si>
    <t>KLAC</t>
  </si>
  <si>
    <t>KMB</t>
  </si>
  <si>
    <t>KMI</t>
  </si>
  <si>
    <t>KMX</t>
  </si>
  <si>
    <t>KO</t>
  </si>
  <si>
    <t>KR</t>
  </si>
  <si>
    <t>KRFT</t>
  </si>
  <si>
    <t>KSS</t>
  </si>
  <si>
    <t>L</t>
  </si>
  <si>
    <t>LEG</t>
  </si>
  <si>
    <t>LEN</t>
  </si>
  <si>
    <t>LH</t>
  </si>
  <si>
    <t>LIFE</t>
  </si>
  <si>
    <t>LLL</t>
  </si>
  <si>
    <t>LLTC</t>
  </si>
  <si>
    <t>LLY</t>
  </si>
  <si>
    <t>LM</t>
  </si>
  <si>
    <t>LMT</t>
  </si>
  <si>
    <t>LNC</t>
  </si>
  <si>
    <t>LO</t>
  </si>
  <si>
    <t>LOW</t>
  </si>
  <si>
    <t>LRCX</t>
  </si>
  <si>
    <t>LSI</t>
  </si>
  <si>
    <t>LTD</t>
  </si>
  <si>
    <t>LUK</t>
  </si>
  <si>
    <t>LUV</t>
  </si>
  <si>
    <t>LYB</t>
  </si>
  <si>
    <t>M</t>
  </si>
  <si>
    <t>MA</t>
  </si>
  <si>
    <t>MAC</t>
  </si>
  <si>
    <t>MAR</t>
  </si>
  <si>
    <t>MAS</t>
  </si>
  <si>
    <t>MAT</t>
  </si>
  <si>
    <t>MCD</t>
  </si>
  <si>
    <t>MCHP</t>
  </si>
  <si>
    <t>MCK</t>
  </si>
  <si>
    <t>MCO</t>
  </si>
  <si>
    <t>MDLZ</t>
  </si>
  <si>
    <t>MDT</t>
  </si>
  <si>
    <t>MET</t>
  </si>
  <si>
    <t>MHP</t>
  </si>
  <si>
    <t>MJN</t>
  </si>
  <si>
    <t>MKC</t>
  </si>
  <si>
    <t>MMC</t>
  </si>
  <si>
    <t>MMM</t>
  </si>
  <si>
    <t>MNST</t>
  </si>
  <si>
    <t>MO</t>
  </si>
  <si>
    <t>MOLX</t>
  </si>
  <si>
    <t>MON</t>
  </si>
  <si>
    <t>MOS</t>
  </si>
  <si>
    <t>MPC</t>
  </si>
  <si>
    <t>MRK</t>
  </si>
  <si>
    <t>MRO</t>
  </si>
  <si>
    <t>MS</t>
  </si>
  <si>
    <t>MSFT</t>
  </si>
  <si>
    <t>MSI</t>
  </si>
  <si>
    <t>MTB</t>
  </si>
  <si>
    <t>MU</t>
  </si>
  <si>
    <t>MUR</t>
  </si>
  <si>
    <t>MWV</t>
  </si>
  <si>
    <t>MYL</t>
  </si>
  <si>
    <t>NBL</t>
  </si>
  <si>
    <t>NBR</t>
  </si>
  <si>
    <t>NDAQ</t>
  </si>
  <si>
    <t>NE</t>
  </si>
  <si>
    <t>NEE</t>
  </si>
  <si>
    <t>NEM</t>
  </si>
  <si>
    <t>NFLX</t>
  </si>
  <si>
    <t>NFX</t>
  </si>
  <si>
    <t>NI</t>
  </si>
  <si>
    <t>NKE</t>
  </si>
  <si>
    <t>NOC</t>
  </si>
  <si>
    <t>NOV</t>
  </si>
  <si>
    <t>NRG</t>
  </si>
  <si>
    <t>NSC</t>
  </si>
  <si>
    <t>NTAP</t>
  </si>
  <si>
    <t>NTRS</t>
  </si>
  <si>
    <t>NU</t>
  </si>
  <si>
    <t>NUE</t>
  </si>
  <si>
    <t>NVDA</t>
  </si>
  <si>
    <t>NWL</t>
  </si>
  <si>
    <t>NWSA</t>
  </si>
  <si>
    <t>NYX</t>
  </si>
  <si>
    <t>OI</t>
  </si>
  <si>
    <t>OKE</t>
  </si>
  <si>
    <t>OMC</t>
  </si>
  <si>
    <t>ORCL</t>
  </si>
  <si>
    <t>ORLY</t>
  </si>
  <si>
    <t>OXY</t>
  </si>
  <si>
    <t>PAYX</t>
  </si>
  <si>
    <t>PBCT</t>
  </si>
  <si>
    <t>PBI</t>
  </si>
  <si>
    <t>PCAR</t>
  </si>
  <si>
    <t>PCG</t>
  </si>
  <si>
    <t>PCL</t>
  </si>
  <si>
    <t>PCLN</t>
  </si>
  <si>
    <t>PCP</t>
  </si>
  <si>
    <t>PDCO</t>
  </si>
  <si>
    <t>PEG</t>
  </si>
  <si>
    <t>PEP</t>
  </si>
  <si>
    <t>PETM</t>
  </si>
  <si>
    <t>PFE</t>
  </si>
  <si>
    <t>PFG</t>
  </si>
  <si>
    <t>PG</t>
  </si>
  <si>
    <t>PGR</t>
  </si>
  <si>
    <t>PH</t>
  </si>
  <si>
    <t>PHM</t>
  </si>
  <si>
    <t>PKI</t>
  </si>
  <si>
    <t>PLD</t>
  </si>
  <si>
    <t>PLL</t>
  </si>
  <si>
    <t>PM</t>
  </si>
  <si>
    <t>PNC</t>
  </si>
  <si>
    <t>PNR</t>
  </si>
  <si>
    <t>PNW</t>
  </si>
  <si>
    <t>POM</t>
  </si>
  <si>
    <t>PPG</t>
  </si>
  <si>
    <t>PPL</t>
  </si>
  <si>
    <t>PRGO</t>
  </si>
  <si>
    <t>PRU</t>
  </si>
  <si>
    <t>PSA</t>
  </si>
  <si>
    <t>PSX</t>
  </si>
  <si>
    <t>PVH</t>
  </si>
  <si>
    <t>PWR</t>
  </si>
  <si>
    <t>PX</t>
  </si>
  <si>
    <t>PXD</t>
  </si>
  <si>
    <t>QCOM</t>
  </si>
  <si>
    <t>QEP</t>
  </si>
  <si>
    <t>R</t>
  </si>
  <si>
    <t>RAI</t>
  </si>
  <si>
    <t>RDC</t>
  </si>
  <si>
    <t>REGN</t>
  </si>
  <si>
    <t>RF</t>
  </si>
  <si>
    <t>RHI</t>
  </si>
  <si>
    <t>RHT</t>
  </si>
  <si>
    <t>RL</t>
  </si>
  <si>
    <t>ROK</t>
  </si>
  <si>
    <t>ROP</t>
  </si>
  <si>
    <t>ROST</t>
  </si>
  <si>
    <t>RRC</t>
  </si>
  <si>
    <t>RSG</t>
  </si>
  <si>
    <t>RTN</t>
  </si>
  <si>
    <t>S</t>
  </si>
  <si>
    <t>SAI</t>
  </si>
  <si>
    <t>SBUX</t>
  </si>
  <si>
    <t>SCG</t>
  </si>
  <si>
    <t>SCHW</t>
  </si>
  <si>
    <t>SE</t>
  </si>
  <si>
    <t>SEE</t>
  </si>
  <si>
    <t>SHW</t>
  </si>
  <si>
    <t>SIAL</t>
  </si>
  <si>
    <t>SJM</t>
  </si>
  <si>
    <t>SLB</t>
  </si>
  <si>
    <t>SLM</t>
  </si>
  <si>
    <t>SNA</t>
  </si>
  <si>
    <t>SNDK</t>
  </si>
  <si>
    <t>SNI</t>
  </si>
  <si>
    <t>SO</t>
  </si>
  <si>
    <t>SPG</t>
  </si>
  <si>
    <t>SPLS</t>
  </si>
  <si>
    <t>SRCL</t>
  </si>
  <si>
    <t>SRE</t>
  </si>
  <si>
    <t>STI</t>
  </si>
  <si>
    <t>STJ</t>
  </si>
  <si>
    <t>STT</t>
  </si>
  <si>
    <t>STX</t>
  </si>
  <si>
    <t>STZ</t>
  </si>
  <si>
    <t>SWK</t>
  </si>
  <si>
    <t>SWN</t>
  </si>
  <si>
    <t>SWY</t>
  </si>
  <si>
    <t>SYK</t>
  </si>
  <si>
    <t>SYMC</t>
  </si>
  <si>
    <t>SYY</t>
  </si>
  <si>
    <t>T</t>
  </si>
  <si>
    <t>TAP</t>
  </si>
  <si>
    <t>TDC</t>
  </si>
  <si>
    <t>TE</t>
  </si>
  <si>
    <t>TEG</t>
  </si>
  <si>
    <t>TEL</t>
  </si>
  <si>
    <t>TER</t>
  </si>
  <si>
    <t>TGT</t>
  </si>
  <si>
    <t>THC</t>
  </si>
  <si>
    <t>TIF</t>
  </si>
  <si>
    <t>TJX</t>
  </si>
  <si>
    <t>TMK</t>
  </si>
  <si>
    <t>TMO</t>
  </si>
  <si>
    <t>TRIP</t>
  </si>
  <si>
    <t>TROW</t>
  </si>
  <si>
    <t>TRV</t>
  </si>
  <si>
    <t>TSN</t>
  </si>
  <si>
    <t>TSO</t>
  </si>
  <si>
    <t>TSS</t>
  </si>
  <si>
    <t>TWC</t>
  </si>
  <si>
    <t>TWX</t>
  </si>
  <si>
    <t>TXN</t>
  </si>
  <si>
    <t>TXT</t>
  </si>
  <si>
    <t>TYC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</si>
  <si>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</si>
  <si>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</si>
  <si>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</si>
  <si>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</si>
  <si>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</si>
  <si>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</si>
  <si>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</si>
  <si>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</si>
  <si>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</si>
  <si>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</si>
  <si>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</si>
  <si>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</si>
  <si>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</si>
  <si>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</si>
  <si>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VRSN</t>
  </si>
  <si>
    <t>VTR</t>
  </si>
  <si>
    <t>VZ</t>
  </si>
  <si>
    <t>WAG</t>
  </si>
  <si>
    <t>WAT</t>
  </si>
  <si>
    <t>WDC</t>
  </si>
  <si>
    <t>WEC</t>
  </si>
  <si>
    <t>WFC</t>
  </si>
  <si>
    <t>WFM</t>
  </si>
  <si>
    <t>WHR</t>
  </si>
  <si>
    <t>WIN</t>
  </si>
  <si>
    <t>WLP</t>
  </si>
  <si>
    <t>WM</t>
  </si>
  <si>
    <t>WMB</t>
  </si>
  <si>
    <t>WMT</t>
  </si>
  <si>
    <t>WPO</t>
  </si>
  <si>
    <t>WPX</t>
  </si>
  <si>
    <t>WU</t>
  </si>
  <si>
    <t>WY</t>
  </si>
  <si>
    <t>WYN</t>
  </si>
  <si>
    <t>WYNN</t>
  </si>
  <si>
    <t>X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</si>
  <si>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</si>
  <si>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</si>
  <si>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</si>
  <si>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</si>
  <si>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</si>
  <si>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</si>
  <si>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</si>
  <si>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</si>
  <si>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</si>
  <si>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ZION</t>
  </si>
  <si>
    <t>ZMH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</si>
</sst>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rgb="FF2A2A2A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Mon Nov 20 16:00:00 EST 2017</v>
        <stp/>
        <stp>LOW</stp>
        <stp>WYN</stp>
        <tr r="M490" s="1"/>
      </tp>
      <tp t="s">
        <v>instrument=JPM</v>
        <stp/>
        <stp>QUOTE_TREND</stp>
        <stp>JPM</stp>
        <tr r="D256" s="1"/>
      </tp>
      <tp t="s">
        <v>instrument=JWN</v>
        <stp/>
        <stp>QUOTE_TREND</stp>
        <stp>JWN</stp>
        <tr r="D257" s="1"/>
      </tp>
      <tp>
        <v>12</v>
        <stp/>
        <stp>LOW</stp>
        <stp>WPX</stp>
        <tr r="M487" s="1"/>
      </tp>
      <tp t="s">
        <v>N/A</v>
        <stp/>
        <stp>LOW</stp>
        <stp>WPO</stp>
        <tr r="M486" s="1"/>
      </tp>
      <tp>
        <v>132</v>
        <stp/>
        <stp>ASK</stp>
        <stp>ZMH</stp>
        <tr r="G503" s="1"/>
      </tp>
      <tp>
        <v>72.73</v>
        <stp/>
        <stp>BID</stp>
        <stp>YUM</stp>
        <tr r="F501" s="1"/>
      </tp>
      <tp t="s">
        <v>instrument=JCP</v>
        <stp/>
        <stp>QUOTE_TREND</stp>
        <stp>JCP</stp>
        <tr r="D250" s="1"/>
      </tp>
      <tp>
        <v>161.75</v>
        <stp/>
        <stp>LOW</stp>
        <stp>WHR</stp>
        <tr r="M480" s="1"/>
      </tp>
      <tp t="s">
        <v>instrument=JCI</v>
        <stp/>
        <stp>QUOTE_TREND</stp>
        <stp>JCI</stp>
        <tr r="D249" s="1"/>
      </tp>
      <tp>
        <v>2.04</v>
        <stp/>
        <stp>LOW</stp>
        <stp>WIN</stp>
        <tr r="M481" s="1"/>
      </tp>
      <tp t="s">
        <v>instrument=JBL</v>
        <stp/>
        <stp>QUOTE_TREND</stp>
        <stp>JBL</stp>
        <tr r="D248" s="1"/>
      </tp>
      <tp>
        <v>0</v>
        <stp/>
        <stp>LOW</stp>
        <stp>WLP</stp>
        <tr r="M482" s="1"/>
      </tp>
      <tp>
        <v>96.58</v>
        <stp/>
        <stp>LOW</stp>
        <stp>WMT</stp>
        <tr r="M485" s="1"/>
      </tp>
      <tp>
        <v>26.8188</v>
        <stp/>
        <stp>LOW</stp>
        <stp>WMB</stp>
        <tr r="M484" s="1"/>
      </tp>
      <tp t="s">
        <v>instrument=JEC</v>
        <stp/>
        <stp>QUOTE_TREND</stp>
        <stp>JEC</stp>
        <tr r="D252" s="1"/>
      </tp>
      <tp>
        <v>197.45</v>
        <stp/>
        <stp>LOW</stp>
        <stp>WAT</stp>
        <tr r="M475" s="1"/>
      </tp>
      <tp>
        <v>0</v>
        <stp/>
        <stp>LOW</stp>
        <stp>WAG</stp>
        <tr r="M474" s="1"/>
      </tp>
      <tp t="s">
        <v>instrument=JOY</v>
        <stp/>
        <stp>QUOTE_TREND</stp>
        <stp>JOY</stp>
        <tr r="D255" s="1"/>
      </tp>
      <tp>
        <v>90.525000000000006</v>
        <stp/>
        <stp>LOW</stp>
        <stp>WDC</stp>
        <tr r="M476" s="1"/>
      </tp>
      <tp t="s">
        <v>instrument=JNJ</v>
        <stp/>
        <stp>QUOTE_TREND</stp>
        <stp>JNJ</stp>
        <tr r="D253" s="1"/>
      </tp>
      <tp>
        <v>68.12</v>
        <stp/>
        <stp>LOW</stp>
        <stp>WEC</stp>
        <tr r="M477" s="1"/>
      </tp>
      <tp>
        <v>0</v>
        <stp/>
        <stp>LOW</stp>
        <stp>WFM</stp>
        <tr r="M479" s="1"/>
      </tp>
      <tp>
        <v>53.97</v>
        <stp/>
        <stp>LOW</stp>
        <stp>WFC</stp>
        <tr r="M478" s="1"/>
      </tp>
      <tp>
        <v>31.54</v>
        <stp/>
        <stp>OPEN</stp>
        <stp>GLW</stp>
        <tr r="K202" s="1"/>
      </tp>
      <tp>
        <v>183.58</v>
        <stp/>
        <stp>ASK</stp>
        <stp>ADBE</stp>
        <tr r="G13" s="1"/>
      </tp>
      <tp>
        <v>16.309999999999999</v>
        <stp/>
        <stp>OPEN</stp>
        <stp>GME</stp>
        <tr r="K203" s="1"/>
      </tp>
      <tp>
        <v>36.64</v>
        <stp/>
        <stp>ASK</stp>
        <stp>PDCO</stp>
        <tr r="G358" s="1"/>
      </tp>
      <tp>
        <v>96.18</v>
        <stp/>
        <stp>52LOW</stp>
        <stp>ALXN</stp>
        <tr r="O31" s="1"/>
      </tp>
      <tp>
        <v>3.21</v>
        <stp/>
        <stp>OPEN</stp>
        <stp>GNW</stp>
        <tr r="K204" s="1"/>
      </tp>
      <tp>
        <v>76.37</v>
        <stp/>
        <stp>ASK</stp>
        <stp>NDAQ</stp>
        <tr r="G324" s="1"/>
      </tp>
      <tp t="s">
        <v>instrument=ISRG</v>
        <stp/>
        <stp>QUOTE_TREND</stp>
        <stp>ISRG</stp>
        <tr r="D245" s="1"/>
      </tp>
      <tp t="s">
        <v>instrument=ESRX</v>
        <stp/>
        <stp>QUOTE_TREND</stp>
        <stp>ESRX</stp>
        <tr r="D167" s="1"/>
      </tp>
      <tp>
        <v>53.49</v>
        <stp/>
        <stp>OPEN</stp>
        <stp>GIS</stp>
        <tr r="K201" s="1"/>
      </tp>
      <tp>
        <v>60.5</v>
        <stp/>
        <stp>52LOW</stp>
        <stp>DLPH</stp>
        <tr r="O140" s="1"/>
      </tp>
      <tp>
        <v>71.239999999999995</v>
        <stp/>
        <stp>52HIGH</stp>
        <stp>ICE</stp>
        <tr r="N236" s="1"/>
      </tp>
      <tp>
        <v>182.79</v>
        <stp/>
        <stp>52HIGH</stp>
        <stp>IBM</stp>
        <tr r="N235" s="1"/>
      </tp>
      <tp>
        <v>0</v>
        <stp/>
        <stp>OPEN</stp>
        <stp>GAS</stp>
        <tr r="K196" s="1"/>
      </tp>
      <tp t="s">
        <v>N/A</v>
        <stp/>
        <stp>52LOW</stp>
        <stp>LLTC</stp>
        <tr r="O275" s="1"/>
      </tp>
      <tp>
        <v>65.63</v>
        <stp/>
        <stp>52LOW</stp>
        <stp>DLTR</stp>
        <tr r="O141" s="1"/>
      </tp>
      <tp>
        <v>16.55</v>
        <stp/>
        <stp>52LOW</stp>
        <stp>ALTR</stp>
        <tr r="O30" s="1"/>
      </tp>
      <tp>
        <v>32.07</v>
        <stp/>
        <stp>52HIGH</stp>
        <stp>IGT</stp>
        <tr r="N238" s="1"/>
      </tp>
      <tp>
        <v>121.755</v>
        <stp/>
        <stp>LOW</stp>
        <stp>EXPE</stp>
        <tr r="M175" s="1"/>
      </tp>
      <tp>
        <v>58.820799999999998</v>
        <stp/>
        <stp>LOW</stp>
        <stp>EXPD</stp>
        <tr r="M174" s="1"/>
      </tp>
      <tp>
        <v>42.35</v>
        <stp/>
        <stp>ASK</stp>
        <stp>MDLZ</stp>
        <tr r="G298" s="1"/>
      </tp>
      <tp>
        <v>11.27</v>
        <stp/>
        <stp>OPEN</stp>
        <stp>GCI</stp>
        <tr r="K197" s="1"/>
      </tp>
      <tp>
        <v>153.9699</v>
        <stp/>
        <stp>52HIGH</stp>
        <stp>IFF</stp>
        <tr r="N237" s="1"/>
      </tp>
      <tp t="s">
        <v>instrument=MSFT</v>
        <stp/>
        <stp>QUOTE_TREND</stp>
        <stp>MSFT</stp>
        <tr r="D315" s="1"/>
      </tp>
      <tp>
        <v>33.75</v>
        <stp/>
        <stp>52LOW</stp>
        <stp>FLIR</stp>
        <tr r="O187" s="1"/>
      </tp>
      <tp>
        <v>128.83000000000001</v>
        <stp/>
        <stp>ASK</stp>
        <stp>ADSK</stp>
        <tr r="G17" s="1"/>
      </tp>
      <tp>
        <v>12.94</v>
        <stp/>
        <stp>ASK</stp>
        <stp>JDSU</stp>
        <tr r="G251" s="1"/>
      </tp>
      <tp t="s">
        <v>instrument=CSCO</v>
        <stp/>
        <stp>QUOTE_TREND</stp>
        <stp>CSCO</stp>
        <tr r="D119" s="1"/>
      </tp>
      <tp>
        <v>52.54</v>
        <stp/>
        <stp>52LOW</stp>
        <stp>XLNX</stp>
        <tr r="O495" s="1"/>
      </tp>
      <tp>
        <v>74.66</v>
        <stp/>
        <stp>52LOW</stp>
        <stp>KLAC</stp>
        <tr r="O261" s="1"/>
      </tp>
      <tp>
        <v>25.71</v>
        <stp/>
        <stp>52HIGH</stp>
        <stp>IPG</stp>
        <tr r="N242" s="1"/>
      </tp>
      <tp t="s">
        <v>instrument=FSLR</v>
        <stp/>
        <stp>QUOTE_TREND</stp>
        <stp>FSLR</stp>
        <tr r="D193" s="1"/>
      </tp>
      <tp>
        <v>198.20500000000001</v>
        <stp/>
        <stp>OPEN</stp>
        <stp>GWW</stp>
        <tr r="K211" s="1"/>
      </tp>
      <tp>
        <v>41.18</v>
        <stp/>
        <stp>52HIGH</stp>
        <stp>IRM</stp>
        <tr r="N244" s="1"/>
      </tp>
      <tp>
        <v>85.95</v>
        <stp/>
        <stp>OPEN</stp>
        <stp>GPC</stp>
        <tr r="K206" s="1"/>
      </tp>
      <tp>
        <v>29.34</v>
        <stp/>
        <stp>OPEN</stp>
        <stp>GPS</stp>
        <tr r="K207" s="1"/>
      </tp>
      <tp>
        <v>159.36000000000001</v>
        <stp/>
        <stp>52HIGH</stp>
        <stp>ITW</stp>
        <tr r="N246" s="1"/>
      </tp>
      <tp>
        <v>37.75</v>
        <stp/>
        <stp>52HIGH</stp>
        <stp>IVZ</stp>
        <tr r="N247" s="1"/>
      </tp>
      <tp>
        <v>2126427</v>
        <stp/>
        <stp>VOLUME</stp>
        <stp>UNP</stp>
        <tr r="J459" s="1"/>
      </tp>
      <tp>
        <v>1296043</v>
        <stp/>
        <stp>VOLUME</stp>
        <stp>UNM</stp>
        <tr r="J458" s="1"/>
      </tp>
      <tp>
        <v>1881873</v>
        <stp/>
        <stp>VOLUME</stp>
        <stp>UNH</stp>
        <tr r="J457" s="1"/>
      </tp>
      <tp>
        <v>2121868</v>
        <stp/>
        <stp>VOLUME</stp>
        <stp>UPS</stp>
        <tr r="J460" s="1"/>
      </tp>
      <tp>
        <v>3276472</v>
        <stp/>
        <stp>VOLUME</stp>
        <stp>USB</stp>
        <tr r="J462" s="1"/>
      </tp>
      <tp>
        <v>2582063</v>
        <stp/>
        <stp>VOLUME</stp>
        <stp>UTX</stp>
        <tr r="J463" s="1"/>
      </tp>
      <tp t="s">
        <v>Uptrend</v>
        <stp/>
        <stp>STRENGTH_METER</stp>
        <stp>QEP</stp>
        <tr r="C387" s="1"/>
      </tp>
      <tp t="s">
        <v>instrument=KSS</v>
        <stp/>
        <stp>QUOTE_TREND</stp>
        <stp>KSS</stp>
        <tr r="D268" s="1"/>
      </tp>
      <tp>
        <v>62.3</v>
        <stp/>
        <stp>BID</stp>
        <stp>XYL</stp>
        <tr r="F499" s="1"/>
      </tp>
      <tp>
        <v>64.16</v>
        <stp/>
        <stp>LOW</stp>
        <stp>VTR</stp>
        <tr r="M472" s="1"/>
      </tp>
      <tp>
        <v>25.52</v>
        <stp/>
        <stp>BID</stp>
        <stp>XRX</stp>
        <tr r="F498" s="1"/>
      </tp>
      <tp>
        <v>0</v>
        <stp/>
        <stp>NET_CHANGE</stp>
        <stp>APOL</stp>
        <tr r="E45" s="1"/>
      </tp>
      <tp>
        <v>80.180000000000007</v>
        <stp/>
        <stp>BID</stp>
        <stp>XOM</stp>
        <tr r="F496" s="1"/>
      </tp>
      <tp>
        <v>0</v>
        <stp/>
        <stp>NET_CHANGE</stp>
        <stp>SPLS</stp>
        <tr r="E419" s="1"/>
      </tp>
      <tp>
        <v>81.75</v>
        <stp/>
        <stp>LOW</stp>
        <stp>VLO</stp>
        <tr r="M468" s="1"/>
      </tp>
      <tp>
        <v>122.91</v>
        <stp/>
        <stp>LOW</stp>
        <stp>VMC</stp>
        <tr r="M469" s="1"/>
      </tp>
      <tp t="s">
        <v>instrument=KEY</v>
        <stp/>
        <stp>QUOTE_TREND</stp>
        <stp>KEY</stp>
        <tr r="D259" s="1"/>
      </tp>
      <tp>
        <v>76.44</v>
        <stp/>
        <stp>LOW</stp>
        <stp>VNO</stp>
        <tr r="M470" s="1"/>
      </tp>
      <tp>
        <v>108.25</v>
        <stp/>
        <stp>LOW</stp>
        <stp>VAR</stp>
        <tr r="M465" s="1"/>
      </tp>
      <tp t="s">
        <v>instrument=KIM</v>
        <stp/>
        <stp>QUOTE_TREND</stp>
        <stp>KIM</stp>
        <tr r="D260" s="1"/>
      </tp>
      <tp>
        <v>50.89</v>
        <stp/>
        <stp>BID</stp>
        <stp>XEL</stp>
        <tr r="F493" s="1"/>
      </tp>
      <tp t="s">
        <v>instrument=KMX</v>
        <stp/>
        <stp>QUOTE_TREND</stp>
        <stp>KMX</stp>
        <tr r="D264" s="1"/>
      </tp>
      <tp t="s">
        <v>instrument=KMB</v>
        <stp/>
        <stp>QUOTE_TREND</stp>
        <stp>KMB</stp>
        <tr r="D262" s="1"/>
      </tp>
      <tp>
        <v>70.55</v>
        <stp/>
        <stp>LOW</stp>
        <stp>VFC</stp>
        <tr r="M466" s="1"/>
      </tp>
      <tp t="s">
        <v>instrument=KMI</v>
        <stp/>
        <stp>QUOTE_TREND</stp>
        <stp>KMI</stp>
        <tr r="D263" s="1"/>
      </tp>
      <tp>
        <v>46.45</v>
        <stp/>
        <stp>OPEN</stp>
        <stp>FLR</stp>
        <tr r="K188" s="1"/>
      </tp>
      <tp>
        <v>39.020000000000003</v>
        <stp/>
        <stp>OPEN</stp>
        <stp>FLS</stp>
        <tr r="K189" s="1"/>
      </tp>
      <tp>
        <v>57.159599999999998</v>
        <stp/>
        <stp>52HIGH</stp>
        <stp>HIG</stp>
        <tr r="N221" s="1"/>
      </tp>
      <tp>
        <v>93.55</v>
        <stp/>
        <stp>OPEN</stp>
        <stp>FMC</stp>
        <tr r="K190" s="1"/>
      </tp>
      <tp t="s">
        <v>N/A</v>
        <stp/>
        <stp>ASK</stp>
        <stp>BEAM</stp>
        <tr r="G61" s="1"/>
      </tp>
      <tp>
        <v>735.61</v>
        <stp/>
        <stp>52LOW</stp>
        <stp>AMZN</stp>
        <tr r="O37" s="1"/>
      </tp>
      <tp>
        <v>18.2</v>
        <stp/>
        <stp>OPEN</stp>
        <stp>FHN</stp>
        <tr r="K183" s="1"/>
      </tp>
      <tp>
        <v>92.99</v>
        <stp/>
        <stp>OPEN</stp>
        <stp>FIS</stp>
        <tr r="K184" s="1"/>
      </tp>
      <tp t="s">
        <v>instrument=VRSN</v>
        <stp/>
        <stp>QUOTE_TREND</stp>
        <stp>VRSN</stp>
        <tr r="D471" s="1"/>
      </tp>
      <tp>
        <v>392</v>
        <stp/>
        <stp>ASK</stp>
        <stp>REGN</stp>
        <tr r="G391" s="1"/>
      </tp>
      <tp>
        <v>147.6</v>
        <stp/>
        <stp>52HIGH</stp>
        <stp>HON</stp>
        <tr r="N224" s="1"/>
      </tp>
      <tp>
        <v>63.4</v>
        <stp/>
        <stp>52HIGH</stp>
        <stp>HOG</stp>
        <tr r="N223" s="1"/>
      </tp>
      <tp>
        <v>84.37</v>
        <stp/>
        <stp>52HIGH</stp>
        <stp>HOT</stp>
        <tr r="N225" s="1"/>
      </tp>
      <tp t="s">
        <v>N/A</v>
        <stp/>
        <stp>52HIGH</stp>
        <stp>HNZ</stp>
        <tr r="N222" s="1"/>
      </tp>
      <tp>
        <v>0</v>
        <stp/>
        <stp>OPEN</stp>
        <stp>FDO</stp>
        <tr r="K179" s="1"/>
      </tp>
      <tp>
        <v>217.06</v>
        <stp/>
        <stp>OPEN</stp>
        <stp>FDX</stp>
        <tr r="K180" s="1"/>
      </tp>
      <tp>
        <v>58.78</v>
        <stp/>
        <stp>52HIGH</stp>
        <stp>HAL</stp>
        <tr r="N212" s="1"/>
      </tp>
      <tp>
        <v>116.2</v>
        <stp/>
        <stp>52HIGH</stp>
        <stp>HAS</stp>
        <tr r="N214" s="1"/>
      </tp>
      <tp>
        <v>111.85</v>
        <stp/>
        <stp>52HIGH</stp>
        <stp>HAR</stp>
        <tr r="N213" s="1"/>
      </tp>
      <tp>
        <v>78.17</v>
        <stp/>
        <stp>52HIGH</stp>
        <stp>HCN</stp>
        <tr r="N217" s="1"/>
      </tp>
      <tp>
        <v>33.67</v>
        <stp/>
        <stp>52HIGH</stp>
        <stp>HCP</stp>
        <tr r="N218" s="1"/>
      </tp>
      <tp>
        <v>65.559600000000003</v>
        <stp/>
        <stp>52HIGH</stp>
        <stp>HES</stp>
        <tr r="N220" s="1"/>
      </tp>
      <tp>
        <v>104.1</v>
        <stp/>
        <stp>ASK</stp>
        <stp>CELG</stp>
        <tr r="G90" s="1"/>
      </tp>
      <tp t="s">
        <v>N/A</v>
        <stp/>
        <stp>ASK</stp>
        <stp>DELL</stp>
        <tr r="G131" s="1"/>
      </tp>
      <tp>
        <v>13.51</v>
        <stp/>
        <stp>OPEN</stp>
        <stp>FCX</stp>
        <tr r="K178" s="1"/>
      </tp>
      <tp>
        <v>151.97999999999999</v>
        <stp/>
        <stp>LOW</stp>
        <stp>WYNN</stp>
        <tr r="M491" s="1"/>
      </tp>
      <tp>
        <v>66.489999999999995</v>
        <stp/>
        <stp>ASK</stp>
        <stp>CERN</stp>
        <tr r="G91" s="1"/>
      </tp>
      <tp t="s">
        <v>instrument=KRFT</v>
        <stp/>
        <stp>QUOTE_TREND</stp>
        <stp>KRFT</stp>
        <tr r="D267" s="1"/>
      </tp>
      <tp t="s">
        <v>instrument=PRGO</v>
        <stp/>
        <stp>QUOTE_TREND</stp>
        <stp>PRGO</stp>
        <tr r="D378" s="1"/>
      </tp>
      <tp>
        <v>27.89</v>
        <stp/>
        <stp>LOW</stp>
        <stp>SYMC</stp>
        <tr r="M431" s="1"/>
      </tp>
      <tp t="s">
        <v>instrument=URBN</v>
        <stp/>
        <stp>QUOTE_TREND</stp>
        <stp>URBN</stp>
        <tr r="D461" s="1"/>
      </tp>
      <tp t="s">
        <v>instrument=BRCM</v>
        <stp/>
        <stp>QUOTE_TREND</stp>
        <stp>BRCM</stp>
        <tr r="D72" s="1"/>
      </tp>
      <tp t="s">
        <v>instrument=ORCL</v>
        <stp/>
        <stp>QUOTE_TREND</stp>
        <stp>ORCL</stp>
        <tr r="D347" s="1"/>
      </tp>
      <tp t="s">
        <v>instrument=SRCL</v>
        <stp/>
        <stp>QUOTE_TREND</stp>
        <stp>SRCL</stp>
        <tr r="D420" s="1"/>
      </tp>
      <tp t="s">
        <v>instrument=LRCX</v>
        <stp/>
        <stp>QUOTE_TREND</stp>
        <stp>LRCX</stp>
        <tr r="D282" s="1"/>
      </tp>
      <tp t="s">
        <v>N/A</v>
        <stp/>
        <stp>ASK</stp>
        <stp>PETM</stp>
        <tr r="G361" s="1"/>
      </tp>
      <tp t="s">
        <v>instrument=XRAY</v>
        <stp/>
        <stp>QUOTE_TREND</stp>
        <stp>XRAY</stp>
        <tr r="D497" s="1"/>
      </tp>
      <tp>
        <v>26.59</v>
        <stp/>
        <stp>OPEN</stp>
        <stp>FTI</stp>
        <tr r="K194" s="1"/>
      </tp>
      <tp>
        <v>6.68</v>
        <stp/>
        <stp>OPEN</stp>
        <stp>FTR</stp>
        <tr r="K195" s="1"/>
      </tp>
      <tp>
        <v>29.54</v>
        <stp/>
        <stp>52LOW</stp>
        <stp>AMAT</stp>
        <tr r="O32" s="1"/>
      </tp>
      <tp>
        <v>22.305900000000001</v>
        <stp/>
        <stp>52HIGH</stp>
        <stp>HPQ</stp>
        <tr r="N227" s="1"/>
      </tp>
      <tp t="s">
        <v>instrument=TROW</v>
        <stp/>
        <stp>QUOTE_TREND</stp>
        <stp>TROW</stp>
        <tr r="D447" s="1"/>
      </tp>
      <tp>
        <v>116.49</v>
        <stp/>
        <stp>52HIGH</stp>
        <stp>HSY</stp>
        <tr r="N233" s="1"/>
      </tp>
      <tp>
        <v>20.23</v>
        <stp/>
        <stp>52HIGH</stp>
        <stp>HST</stp>
        <tr r="N232" s="1"/>
      </tp>
      <tp>
        <v>0</v>
        <stp/>
        <stp>52HIGH</stp>
        <stp>HSP</stp>
        <tr r="N231" s="1"/>
      </tp>
      <tp t="s">
        <v>instrument=ORLY</v>
        <stp/>
        <stp>QUOTE_TREND</stp>
        <stp>ORLY</stp>
        <tr r="D348" s="1"/>
      </tp>
      <tp>
        <v>37.97</v>
        <stp/>
        <stp>52HIGH</stp>
        <stp>HRL</stp>
        <tr r="N229" s="1"/>
      </tp>
      <tp>
        <v>31.8</v>
        <stp/>
        <stp>52HIGH</stp>
        <stp>HRB</stp>
        <tr r="N228" s="1"/>
      </tp>
      <tp>
        <v>141.97</v>
        <stp/>
        <stp>52HIGH</stp>
        <stp>HRS</stp>
        <tr r="N230" s="1"/>
      </tp>
      <tp t="s">
        <v>instrument=GRMN</v>
        <stp/>
        <stp>QUOTE_TREND</stp>
        <stp>GRMN</stp>
        <tr r="D208" s="1"/>
      </tp>
      <tp>
        <v>264.56</v>
        <stp/>
        <stp>52HIGH</stp>
        <stp>HUM</stp>
        <tr r="N234" s="1"/>
      </tp>
      <tp t="s">
        <v>N/A</v>
        <stp/>
        <stp>OPEN</stp>
        <stp>FRX</stp>
        <tr r="K192" s="1"/>
      </tp>
      <tp>
        <v>138.83000000000001</v>
        <stp/>
        <stp>52LOW</stp>
        <stp>AMGN</stp>
        <tr r="O34" s="1"/>
      </tp>
      <tp t="s">
        <v>instrument=TRIP</v>
        <stp/>
        <stp>QUOTE_TREND</stp>
        <stp>TRIP</stp>
        <tr r="D446" s="1"/>
      </tp>
      <tp>
        <v>745273</v>
        <stp/>
        <stp>VOLUME</stp>
        <stp>TAP</stp>
        <tr r="J434" s="1"/>
      </tp>
      <tp>
        <v>626332</v>
        <stp/>
        <stp>VOLUME</stp>
        <stp>TDC</stp>
        <tr r="J435" s="1"/>
      </tp>
      <tp t="s">
        <v>Range Bound</v>
        <stp/>
        <stp>STRENGTH_METER</stp>
        <stp>PXD</stp>
        <tr r="C385" s="1"/>
      </tp>
      <tp>
        <v>1617888</v>
        <stp/>
        <stp>VOLUME</stp>
        <stp>TER</stp>
        <tr r="J439" s="1"/>
      </tp>
      <tp>
        <v>2988816</v>
        <stp/>
        <stp>VOLUME</stp>
        <stp>TEL</stp>
        <tr r="J438" s="1"/>
      </tp>
      <tp>
        <v>0</v>
        <stp/>
        <stp>VOLUME</stp>
        <stp>TEG</stp>
        <tr r="J437" s="1"/>
      </tp>
      <tp>
        <v>15957565</v>
        <stp/>
        <stp>VOLUME</stp>
        <stp>TGT</stp>
        <tr r="J440" s="1"/>
      </tp>
      <tp>
        <v>3650773</v>
        <stp/>
        <stp>VOLUME</stp>
        <stp>THC</stp>
        <tr r="J441" s="1"/>
      </tp>
      <tp>
        <v>1535653</v>
        <stp/>
        <stp>VOLUME</stp>
        <stp>TIF</stp>
        <tr r="J442" s="1"/>
      </tp>
      <tp>
        <v>7837480</v>
        <stp/>
        <stp>VOLUME</stp>
        <stp>TJX</stp>
        <tr r="J443" s="1"/>
      </tp>
      <tp t="s">
        <v>Range Bound</v>
        <stp/>
        <stp>STRENGTH_METER</stp>
        <stp>PVH</stp>
        <tr r="C382" s="1"/>
      </tp>
      <tp t="s">
        <v>Range Bound</v>
        <stp/>
        <stp>STRENGTH_METER</stp>
        <stp>PWR</stp>
        <tr r="C383" s="1"/>
      </tp>
      <tp t="s">
        <v>Range Bound</v>
        <stp/>
        <stp>STRENGTH_METER</stp>
        <stp>PPL</stp>
        <tr r="C377" s="1"/>
      </tp>
      <tp t="s">
        <v>Range Bound</v>
        <stp/>
        <stp>STRENGTH_METER</stp>
        <stp>PPG</stp>
        <tr r="C376" s="1"/>
      </tp>
      <tp>
        <v>1145983</v>
        <stp/>
        <stp>VOLUME</stp>
        <stp>TMO</stp>
        <tr r="J445" s="1"/>
      </tp>
      <tp>
        <v>515987</v>
        <stp/>
        <stp>VOLUME</stp>
        <stp>TMK</stp>
        <tr r="J444" s="1"/>
      </tp>
      <tp t="s">
        <v>Range Bound</v>
        <stp/>
        <stp>STRENGTH_METER</stp>
        <stp>PRU</stp>
        <tr r="C379" s="1"/>
      </tp>
      <tp t="s">
        <v>Range Bound</v>
        <stp/>
        <stp>STRENGTH_METER</stp>
        <stp>PSX</stp>
        <tr r="C381" s="1"/>
      </tp>
      <tp t="s">
        <v>Range Bound</v>
        <stp/>
        <stp>STRENGTH_METER</stp>
        <stp>PSA</stp>
        <tr r="C380" s="1"/>
      </tp>
      <tp t="s">
        <v>N/A</v>
        <stp/>
        <stp>STRENGTH_METER</stp>
        <stp>PLL</stp>
        <tr r="C370" s="1"/>
      </tp>
      <tp t="s">
        <v>Range Bound</v>
        <stp/>
        <stp>STRENGTH_METER</stp>
        <stp>PLD</stp>
        <tr r="C369" s="1"/>
      </tp>
      <tp t="s">
        <v>Range Bound</v>
        <stp/>
        <stp>STRENGTH_METER</stp>
        <stp>PNR</stp>
        <tr r="C373" s="1"/>
      </tp>
      <tp>
        <v>2367329</v>
        <stp/>
        <stp>VOLUME</stp>
        <stp>TRV</stp>
        <tr r="J448" s="1"/>
      </tp>
      <tp t="s">
        <v>Range Bound</v>
        <stp/>
        <stp>STRENGTH_METER</stp>
        <stp>PNW</stp>
        <tr r="C374" s="1"/>
      </tp>
      <tp t="s">
        <v>Range Bound</v>
        <stp/>
        <stp>STRENGTH_METER</stp>
        <stp>PNC</stp>
        <tr r="C372" s="1"/>
      </tp>
      <tp>
        <v>1007316</v>
        <stp/>
        <stp>VOLUME</stp>
        <stp>TSS</stp>
        <tr r="J451" s="1"/>
      </tp>
      <tp>
        <v>0</v>
        <stp/>
        <stp>VOLUME</stp>
        <stp>TSO</stp>
        <tr r="J450" s="1"/>
      </tp>
      <tp>
        <v>2071776</v>
        <stp/>
        <stp>VOLUME</stp>
        <stp>TSN</stp>
        <tr r="J449" s="1"/>
      </tp>
      <tp t="s">
        <v>N/A</v>
        <stp/>
        <stp>STRENGTH_METER</stp>
        <stp>POM</stp>
        <tr r="C375" s="1"/>
      </tp>
      <tp t="s">
        <v>Uptrend</v>
        <stp/>
        <stp>STRENGTH_METER</stp>
        <stp>PHM</stp>
        <tr r="C367" s="1"/>
      </tp>
      <tp>
        <v>8317526</v>
        <stp/>
        <stp>VOLUME</stp>
        <stp>TWX</stp>
        <tr r="J453" s="1"/>
      </tp>
      <tp t="s">
        <v>Range Bound</v>
        <stp/>
        <stp>STRENGTH_METER</stp>
        <stp>PKI</stp>
        <tr r="C368" s="1"/>
      </tp>
      <tp>
        <v>0</v>
        <stp/>
        <stp>VOLUME</stp>
        <stp>TWC</stp>
        <tr r="J452" s="1"/>
      </tp>
      <tp>
        <v>1467267</v>
        <stp/>
        <stp>VOLUME</stp>
        <stp>TXT</stp>
        <tr r="J455" s="1"/>
      </tp>
      <tp>
        <v>3780361</v>
        <stp/>
        <stp>VOLUME</stp>
        <stp>TXN</stp>
        <tr r="J454" s="1"/>
      </tp>
      <tp t="s">
        <v>Range Bound</v>
        <stp/>
        <stp>STRENGTH_METER</stp>
        <stp>PEP</stp>
        <tr r="C360" s="1"/>
      </tp>
      <tp t="s">
        <v>Range Bound</v>
        <stp/>
        <stp>STRENGTH_METER</stp>
        <stp>PEG</stp>
        <tr r="C359" s="1"/>
      </tp>
      <tp>
        <v>0</v>
        <stp/>
        <stp>VOLUME</stp>
        <stp>TYC</stp>
        <tr r="J456" s="1"/>
      </tp>
      <tp t="s">
        <v>Range Bound</v>
        <stp/>
        <stp>STRENGTH_METER</stp>
        <stp>PFG</stp>
        <tr r="C363" s="1"/>
      </tp>
      <tp t="s">
        <v>Range Bound</v>
        <stp/>
        <stp>STRENGTH_METER</stp>
        <stp>PFE</stp>
        <tr r="C362" s="1"/>
      </tp>
      <tp t="s">
        <v>Range Bound</v>
        <stp/>
        <stp>STRENGTH_METER</stp>
        <stp>PGR</stp>
        <tr r="C365" s="1"/>
      </tp>
      <tp t="s">
        <v>Downtrend</v>
        <stp/>
        <stp>STRENGTH_METER</stp>
        <stp>PBI</stp>
        <tr r="C352" s="1"/>
      </tp>
      <tp t="s">
        <v>N/A</v>
        <stp/>
        <stp>STRENGTH_METER</stp>
        <stp>PCP</stp>
        <tr r="C357" s="1"/>
      </tp>
      <tp t="s">
        <v>N/A</v>
        <stp/>
        <stp>STRENGTH_METER</stp>
        <stp>PCL</stp>
        <tr r="C355" s="1"/>
      </tp>
      <tp t="s">
        <v>Range Bound</v>
        <stp/>
        <stp>STRENGTH_METER</stp>
        <stp>PCG</stp>
        <tr r="C354" s="1"/>
      </tp>
      <tp t="s">
        <v>N/A</v>
        <stp/>
        <stp>HIGH</stp>
        <stp>BRK-B</stp>
        <tr r="L73" s="1"/>
      </tp>
      <tp t="s">
        <v>instrument=HST</v>
        <stp/>
        <stp>QUOTE_TREND</stp>
        <stp>HST</stp>
        <tr r="D232" s="1"/>
      </tp>
      <tp t="s">
        <v>instrument=HSP</v>
        <stp/>
        <stp>QUOTE_TREND</stp>
        <stp>HSP</stp>
        <tr r="D231" s="1"/>
      </tp>
      <tp t="s">
        <v>instrument=HSY</v>
        <stp/>
        <stp>QUOTE_TREND</stp>
        <stp>HSY</stp>
        <tr r="D233" s="1"/>
      </tp>
      <tp t="s">
        <v>instrument=HRS</v>
        <stp/>
        <stp>QUOTE_TREND</stp>
        <stp>HRS</stp>
        <tr r="D230" s="1"/>
      </tp>
      <tp>
        <v>51.01</v>
        <stp/>
        <stp>ASK</stp>
        <stp>XEL</stp>
        <tr r="G493" s="1"/>
      </tp>
      <tp t="s">
        <v>instrument=HRB</v>
        <stp/>
        <stp>QUOTE_TREND</stp>
        <stp>HRB</stp>
        <tr r="D228" s="1"/>
      </tp>
      <tp t="s">
        <v>instrument=HRL</v>
        <stp/>
        <stp>QUOTE_TREND</stp>
        <stp>HRL</stp>
        <tr r="D229" s="1"/>
      </tp>
      <tp t="s">
        <v>instrument=HPQ</v>
        <stp/>
        <stp>QUOTE_TREND</stp>
        <stp>HPQ</stp>
        <tr r="D227" s="1"/>
      </tp>
      <tp t="s">
        <v>instrument=HUM</v>
        <stp/>
        <stp>QUOTE_TREND</stp>
        <stp>HUM</stp>
        <tr r="D234" s="1"/>
      </tp>
      <tp>
        <v>112.56</v>
        <stp/>
        <stp>LOW</stp>
        <stp>UPS</stp>
        <tr r="M460" s="1"/>
      </tp>
      <tp>
        <v>80.239999999999995</v>
        <stp/>
        <stp>ASK</stp>
        <stp>XOM</stp>
        <tr r="G496" s="1"/>
      </tp>
      <tp>
        <v>51.52</v>
        <stp/>
        <stp>LOW</stp>
        <stp>USB</stp>
        <tr r="M462" s="1"/>
      </tp>
      <tp>
        <v>116.48</v>
        <stp/>
        <stp>LOW</stp>
        <stp>UTX</stp>
        <tr r="M463" s="1"/>
      </tp>
      <tp>
        <v>-0.51</v>
        <stp/>
        <stp>NET_CHANGE</stp>
        <stp>ESRX</stp>
        <tr r="E167" s="1"/>
      </tp>
      <tp>
        <v>-1.32</v>
        <stp/>
        <stp>NET_CHANGE</stp>
        <stp>ISRG</stp>
        <tr r="E245" s="1"/>
      </tp>
      <tp t="s">
        <v>instrument=HCP</v>
        <stp/>
        <stp>QUOTE_TREND</stp>
        <stp>HCP</stp>
        <tr r="D218" s="1"/>
      </tp>
      <tp t="s">
        <v>instrument=HCN</v>
        <stp/>
        <stp>QUOTE_TREND</stp>
        <stp>HCN</stp>
        <tr r="D217" s="1"/>
      </tp>
      <tp t="s">
        <v>instrument=HAR</v>
        <stp/>
        <stp>QUOTE_TREND</stp>
        <stp>HAR</stp>
        <tr r="D213" s="1"/>
      </tp>
      <tp t="s">
        <v>instrument=HAS</v>
        <stp/>
        <stp>QUOTE_TREND</stp>
        <stp>HAS</stp>
        <tr r="D214" s="1"/>
      </tp>
      <tp t="s">
        <v>instrument=HAL</v>
        <stp/>
        <stp>QUOTE_TREND</stp>
        <stp>HAL</stp>
        <tr r="D212" s="1"/>
      </tp>
      <tp>
        <v>-0.17</v>
        <stp/>
        <stp>NET_CHANGE</stp>
        <stp>FSLR</stp>
        <tr r="E193" s="1"/>
      </tp>
      <tp t="s">
        <v>instrument=HES</v>
        <stp/>
        <stp>QUOTE_TREND</stp>
        <stp>HES</stp>
        <tr r="D220" s="1"/>
      </tp>
      <tp>
        <v>115.5</v>
        <stp/>
        <stp>LOW</stp>
        <stp>UNP</stp>
        <tr r="M459" s="1"/>
      </tp>
      <tp>
        <v>52.93</v>
        <stp/>
        <stp>LOW</stp>
        <stp>UNM</stp>
        <tr r="M458" s="1"/>
      </tp>
      <tp>
        <v>209.15</v>
        <stp/>
        <stp>LOW</stp>
        <stp>UNH</stp>
        <tr r="M457" s="1"/>
      </tp>
      <tp>
        <v>29.3</v>
        <stp/>
        <stp>ASK</stp>
        <stp>XRX</stp>
        <tr r="G498" s="1"/>
      </tp>
      <tp>
        <v>-0.8</v>
        <stp/>
        <stp>NET_CHANGE</stp>
        <stp>MSFT</stp>
        <tr r="E315" s="1"/>
      </tp>
      <tp t="s">
        <v>instrument=HIG</v>
        <stp/>
        <stp>QUOTE_TREND</stp>
        <stp>HIG</stp>
        <tr r="D221" s="1"/>
      </tp>
      <tp t="s">
        <v>instrument=HOT</v>
        <stp/>
        <stp>QUOTE_TREND</stp>
        <stp>HOT</stp>
        <tr r="D225" s="1"/>
      </tp>
      <tp t="s">
        <v>instrument=HOG</v>
        <stp/>
        <stp>QUOTE_TREND</stp>
        <stp>HOG</stp>
        <tr r="D223" s="1"/>
      </tp>
      <tp t="s">
        <v>instrument=HON</v>
        <stp/>
        <stp>QUOTE_TREND</stp>
        <stp>HON</stp>
        <tr r="D224" s="1"/>
      </tp>
      <tp>
        <v>0.02</v>
        <stp/>
        <stp>NET_CHANGE</stp>
        <stp>CSCO</stp>
        <tr r="E119" s="1"/>
      </tp>
      <tp t="s">
        <v>instrument=HNZ</v>
        <stp/>
        <stp>QUOTE_TREND</stp>
        <stp>HNZ</stp>
        <tr r="D222" s="1"/>
      </tp>
      <tp>
        <v>67</v>
        <stp/>
        <stp>ASK</stp>
        <stp>XYL</stp>
        <tr r="G499" s="1"/>
      </tp>
      <tp>
        <v>26.63</v>
        <stp/>
        <stp>52HIGH</stp>
        <stp>KIM</stp>
        <tr r="N260" s="1"/>
      </tp>
      <tp>
        <v>89.7</v>
        <stp/>
        <stp>OPEN</stp>
        <stp>EMN</stp>
        <tr r="K162" s="1"/>
      </tp>
      <tp>
        <v>0</v>
        <stp/>
        <stp>OPEN</stp>
        <stp>EMC</stp>
        <tr r="K161" s="1"/>
      </tp>
      <tp>
        <v>58.86</v>
        <stp/>
        <stp>OPEN</stp>
        <stp>EMR</stp>
        <tr r="K163" s="1"/>
      </tp>
      <tp>
        <v>101.76</v>
        <stp/>
        <stp>OPEN</stp>
        <stp>EOG</stp>
        <tr r="K164" s="1"/>
      </tp>
      <tp>
        <v>28.04</v>
        <stp/>
        <stp>Mark</stp>
        <stp>SYMC</stp>
        <tr r="P431" s="1"/>
      </tp>
      <tp>
        <v>23.01</v>
        <stp/>
        <stp>52HIGH</stp>
        <stp>KMI</stp>
        <tr r="N263" s="1"/>
      </tp>
      <tp>
        <v>136.21</v>
        <stp/>
        <stp>52HIGH</stp>
        <stp>KMB</stp>
        <tr r="N262" s="1"/>
      </tp>
      <tp>
        <v>77.64</v>
        <stp/>
        <stp>52HIGH</stp>
        <stp>KMX</stp>
        <tr r="N264" s="1"/>
      </tp>
      <tp>
        <v>81.47</v>
        <stp/>
        <stp>OPEN</stp>
        <stp>EIX</stp>
        <tr r="K159" s="1"/>
      </tp>
      <tp>
        <v>123.95</v>
        <stp/>
        <stp>Last</stp>
        <stp>EXPE</stp>
        <tr r="B175" s="1"/>
      </tp>
      <tp>
        <v>59.13</v>
        <stp/>
        <stp>Last</stp>
        <stp>EXPD</stp>
        <tr r="B174" s="1"/>
      </tp>
      <tp>
        <v>152.28</v>
        <stp/>
        <stp>Mark</stp>
        <stp>WYNN</stp>
        <tr r="P491" s="1"/>
      </tp>
      <tp>
        <v>23.87</v>
        <stp/>
        <stp>52LOW</stp>
        <stp>JNPR</stp>
        <tr r="O254" s="1"/>
      </tp>
      <tp>
        <v>109.11</v>
        <stp/>
        <stp>OPEN</stp>
        <stp>EFX</stp>
        <tr r="K158" s="1"/>
      </tp>
      <tp>
        <v>41.02</v>
        <stp/>
        <stp>52LOW</stp>
        <stp>MNST</stp>
        <tr r="O306" s="1"/>
      </tp>
      <tp>
        <v>124</v>
        <stp/>
        <stp>ASK</stp>
        <stp>FFIV</stp>
        <tr r="G182" s="1"/>
      </tp>
      <tp>
        <v>19.53</v>
        <stp/>
        <stp>52HIGH</stp>
        <stp>KEY</stp>
        <tr r="N259" s="1"/>
      </tp>
      <tp>
        <v>33.229999999999997</v>
        <stp/>
        <stp>52LOW</stp>
        <stp>INTC</stp>
        <tr r="O239" s="1"/>
      </tp>
      <tp>
        <v>109.96</v>
        <stp/>
        <stp>52LOW</stp>
        <stp>INTU</stp>
        <tr r="O240" s="1"/>
      </tp>
      <tp>
        <v>193.22</v>
        <stp/>
        <stp>ASK</stp>
        <stp>NFLX</stp>
        <tr r="G328" s="1"/>
      </tp>
      <tp>
        <v>131.58000000000001</v>
        <stp/>
        <stp>OPEN</stp>
        <stp>ECL</stp>
        <tr r="K156" s="1"/>
      </tp>
      <tp>
        <v>41.19</v>
        <stp/>
        <stp>OPEN</stp>
        <stp>EXC</stp>
        <tr r="K173" s="1"/>
      </tp>
      <tp>
        <v>75.989999999999995</v>
        <stp/>
        <stp>OPEN</stp>
        <stp>ETN</stp>
        <tr r="K170" s="1"/>
      </tp>
      <tp>
        <v>85.66</v>
        <stp/>
        <stp>OPEN</stp>
        <stp>ETR</stp>
        <tr r="K171" s="1"/>
      </tp>
      <tp>
        <v>59.67</v>
        <stp/>
        <stp>52HIGH</stp>
        <stp>KSS</stp>
        <tr r="N268" s="1"/>
      </tp>
      <tp>
        <v>59.35</v>
        <stp/>
        <stp>OPEN</stp>
        <stp>EQT</stp>
        <tr r="K166" s="1"/>
      </tp>
      <tp>
        <v>68.98</v>
        <stp/>
        <stp>OPEN</stp>
        <stp>EQR</stp>
        <tr r="K165" s="1"/>
      </tp>
      <tp t="s">
        <v>N/A</v>
        <stp/>
        <stp>52LOW</stp>
        <stp>SNDK</stp>
        <tr r="O415" s="1"/>
      </tp>
      <tp>
        <v>5.42</v>
        <stp/>
        <stp>OPEN</stp>
        <stp>ESV</stp>
        <tr r="K168" s="1"/>
      </tp>
      <tp>
        <v>358374</v>
        <stp/>
        <stp>VOLUME</stp>
        <stp>WAT</stp>
        <tr r="J475" s="1"/>
      </tp>
      <tp>
        <v>0</v>
        <stp/>
        <stp>VOLUME</stp>
        <stp>WAG</stp>
        <tr r="J474" s="1"/>
      </tp>
      <tp>
        <v>1592305</v>
        <stp/>
        <stp>VOLUME</stp>
        <stp>WDC</stp>
        <tr r="J476" s="1"/>
      </tp>
      <tp t="s">
        <v>Range Bound</v>
        <stp/>
        <stp>STRENGTH_METER</stp>
        <stp>SYY</stp>
        <tr r="C432" s="1"/>
      </tp>
      <tp t="s">
        <v>Range Bound</v>
        <stp/>
        <stp>STRENGTH_METER</stp>
        <stp>SYK</stp>
        <tr r="C430" s="1"/>
      </tp>
      <tp>
        <v>1102754</v>
        <stp/>
        <stp>VOLUME</stp>
        <stp>WEC</stp>
        <tr r="J477" s="1"/>
      </tp>
      <tp>
        <v>0</v>
        <stp/>
        <stp>VOLUME</stp>
        <stp>WFM</stp>
        <tr r="J479" s="1"/>
      </tp>
      <tp>
        <v>15244812</v>
        <stp/>
        <stp>VOLUME</stp>
        <stp>WFC</stp>
        <tr r="J478" s="1"/>
      </tp>
      <tp t="s">
        <v>Range Bound</v>
        <stp/>
        <stp>STRENGTH_METER</stp>
        <stp>STZ</stp>
        <tr r="C426" s="1"/>
      </tp>
      <tp t="s">
        <v>Range Bound</v>
        <stp/>
        <stp>STRENGTH_METER</stp>
        <stp>STX</stp>
        <tr r="C425" s="1"/>
      </tp>
      <tp>
        <v>808171</v>
        <stp/>
        <stp>VOLUME</stp>
        <stp>WHR</stp>
        <tr r="J480" s="1"/>
      </tp>
      <tp t="s">
        <v>Range Bound</v>
        <stp/>
        <stp>STRENGTH_METER</stp>
        <stp>STT</stp>
        <tr r="C424" s="1"/>
      </tp>
      <tp t="s">
        <v>Range Bound</v>
        <stp/>
        <stp>STRENGTH_METER</stp>
        <stp>STJ</stp>
        <tr r="C423" s="1"/>
      </tp>
      <tp t="s">
        <v>Range Bound</v>
        <stp/>
        <stp>STRENGTH_METER</stp>
        <stp>STI</stp>
        <tr r="C422" s="1"/>
      </tp>
      <tp>
        <v>4760359</v>
        <stp/>
        <stp>VOLUME</stp>
        <stp>WIN</stp>
        <tr r="J481" s="1"/>
      </tp>
      <tp t="s">
        <v>N/A</v>
        <stp/>
        <stp>STRENGTH_METER</stp>
        <stp>SWY</stp>
        <tr r="C429" s="1"/>
      </tp>
      <tp t="s">
        <v>Range Bound</v>
        <stp/>
        <stp>STRENGTH_METER</stp>
        <stp>SWK</stp>
        <tr r="C427" s="1"/>
      </tp>
      <tp t="s">
        <v>Uptrend</v>
        <stp/>
        <stp>STRENGTH_METER</stp>
        <stp>SWN</stp>
        <tr r="C428" s="1"/>
      </tp>
      <tp>
        <v>0</v>
        <stp/>
        <stp>VOLUME</stp>
        <stp>WLP</stp>
        <tr r="J482" s="1"/>
      </tp>
      <tp t="s">
        <v>Range Bound</v>
        <stp/>
        <stp>STRENGTH_METER</stp>
        <stp>SPG</stp>
        <tr r="C418" s="1"/>
      </tp>
      <tp>
        <v>23509299</v>
        <stp/>
        <stp>VOLUME</stp>
        <stp>WMT</stp>
        <tr r="J485" s="1"/>
      </tp>
      <tp>
        <v>4268199</v>
        <stp/>
        <stp>VOLUME</stp>
        <stp>WMB</stp>
        <tr r="J484" s="1"/>
      </tp>
      <tp t="s">
        <v>Range Bound</v>
        <stp/>
        <stp>STRENGTH_METER</stp>
        <stp>SRE</stp>
        <tr r="C421" s="1"/>
      </tp>
      <tp t="s">
        <v>N/A</v>
        <stp/>
        <stp>ASK</stp>
        <stp>BF-B</stp>
        <tr r="G63" s="1"/>
      </tp>
      <tp>
        <v>6695680</v>
        <stp/>
        <stp>VOLUME</stp>
        <stp>WPX</stp>
        <tr r="J487" s="1"/>
      </tp>
      <tp t="s">
        <v>N/A</v>
        <stp/>
        <stp>VOLUME</stp>
        <stp>WPO</stp>
        <tr r="J486" s="1"/>
      </tp>
      <tp t="s">
        <v>Range Bound</v>
        <stp/>
        <stp>STRENGTH_METER</stp>
        <stp>SLM</stp>
        <tr r="C413" s="1"/>
      </tp>
      <tp t="s">
        <v>Range Bound</v>
        <stp/>
        <stp>STRENGTH_METER</stp>
        <stp>SLB</stp>
        <tr r="C412" s="1"/>
      </tp>
      <tp t="s">
        <v>Range Bound</v>
        <stp/>
        <stp>STRENGTH_METER</stp>
        <stp>SNI</stp>
        <tr r="C416" s="1"/>
      </tp>
      <tp t="s">
        <v>Range Bound</v>
        <stp/>
        <stp>STRENGTH_METER</stp>
        <stp>SNA</stp>
        <tr r="C414" s="1"/>
      </tp>
      <tp t="s">
        <v>Range Bound</v>
        <stp/>
        <stp>STRENGTH_METER</stp>
        <stp>SHW</stp>
        <tr r="C409" s="1"/>
      </tp>
      <tp t="s">
        <v>Range Bound</v>
        <stp/>
        <stp>STRENGTH_METER</stp>
        <stp>SJM</stp>
        <tr r="C411" s="1"/>
      </tp>
      <tp>
        <v>610180</v>
        <stp/>
        <stp>VOLUME</stp>
        <stp>WYN</stp>
        <tr r="J490" s="1"/>
      </tp>
      <tp t="s">
        <v>Range Bound</v>
        <stp/>
        <stp>STRENGTH_METER</stp>
        <stp>SEE</stp>
        <tr r="C408" s="1"/>
      </tp>
      <tp t="s">
        <v>N/A</v>
        <stp/>
        <stp>STRENGTH_METER</stp>
        <stp>SAI</stp>
        <tr r="C403" s="1"/>
      </tp>
      <tp t="s">
        <v>Range Bound</v>
        <stp/>
        <stp>STRENGTH_METER</stp>
        <stp>SCG</stp>
        <tr r="C405" s="1"/>
      </tp>
      <tp>
        <v>52.61</v>
        <stp/>
        <stp>LOW</stp>
        <stp>TXT</stp>
        <tr r="M455" s="1"/>
      </tp>
      <tp>
        <v>97.61</v>
        <stp/>
        <stp>LOW</stp>
        <stp>TXN</stp>
        <tr r="M454" s="1"/>
      </tp>
      <tp t="s">
        <v>instrument=IRM</v>
        <stp/>
        <stp>QUOTE_TREND</stp>
        <stp>IRM</stp>
        <tr r="D244" s="1"/>
      </tp>
      <tp>
        <v>0</v>
        <stp/>
        <stp>LOW</stp>
        <stp>TYC</stp>
        <tr r="M456" s="1"/>
      </tp>
      <tp t="s">
        <v>instrument=IPG</v>
        <stp/>
        <stp>QUOTE_TREND</stp>
        <stp>IPG</stp>
        <tr r="D242" s="1"/>
      </tp>
      <tp t="s">
        <v>instrument=IVZ</v>
        <stp/>
        <stp>QUOTE_TREND</stp>
        <stp>IVZ</stp>
        <tr r="D247" s="1"/>
      </tp>
      <tp t="s">
        <v>instrument=ITW</v>
        <stp/>
        <stp>QUOTE_TREND</stp>
        <stp>ITW</stp>
        <tr r="D246" s="1"/>
      </tp>
      <tp>
        <v>129.72</v>
        <stp/>
        <stp>LOW</stp>
        <stp>TRV</stp>
        <tr r="M448" s="1"/>
      </tp>
      <tp>
        <v>73.44</v>
        <stp/>
        <stp>LOW</stp>
        <stp>TSS</stp>
        <tr r="M451" s="1"/>
      </tp>
      <tp>
        <v>76.75</v>
        <stp/>
        <stp>LOW</stp>
        <stp>TSN</stp>
        <tr r="M449" s="1"/>
      </tp>
      <tp>
        <v>0</v>
        <stp/>
        <stp>LOW</stp>
        <stp>TSO</stp>
        <tr r="M450" s="1"/>
      </tp>
      <tp>
        <v>0.78</v>
        <stp/>
        <stp>NET_CHANGE</stp>
        <stp>VRSN</stp>
        <tr r="E471" s="1"/>
      </tp>
      <tp>
        <v>87.81</v>
        <stp/>
        <stp>LOW</stp>
        <stp>TWX</stp>
        <tr r="M453" s="1"/>
      </tp>
      <tp>
        <v>0</v>
        <stp/>
        <stp>LOW</stp>
        <stp>TWC</stp>
        <tr r="M452" s="1"/>
      </tp>
      <tp t="s">
        <v>instrument=ICE</v>
        <stp/>
        <stp>QUOTE_TREND</stp>
        <stp>ICE</stp>
        <tr r="D236" s="1"/>
      </tp>
      <tp>
        <v>12.96</v>
        <stp/>
        <stp>LOW</stp>
        <stp>THC</stp>
        <tr r="M441" s="1"/>
      </tp>
      <tp>
        <v>0.45</v>
        <stp/>
        <stp>NET_CHANGE</stp>
        <stp>TROW</stp>
        <tr r="E447" s="1"/>
      </tp>
      <tp>
        <v>79.37</v>
        <stp/>
        <stp>ASK</stp>
        <stp>YUM</stp>
        <tr r="G501" s="1"/>
      </tp>
      <tp>
        <v>93.07</v>
        <stp/>
        <stp>LOW</stp>
        <stp>TIF</stp>
        <tr r="M442" s="1"/>
      </tp>
      <tp t="s">
        <v>instrument=IBM</v>
        <stp/>
        <stp>QUOTE_TREND</stp>
        <stp>IBM</stp>
        <tr r="D235" s="1"/>
      </tp>
      <tp>
        <v>69.349999999999994</v>
        <stp/>
        <stp>LOW</stp>
        <stp>TJX</stp>
        <tr r="M443" s="1"/>
      </tp>
      <tp>
        <v>0.7</v>
        <stp/>
        <stp>NET_CHANGE</stp>
        <stp>GRMN</stp>
        <tr r="E208" s="1"/>
      </tp>
      <tp>
        <v>110.33</v>
        <stp/>
        <stp>BID</stp>
        <stp>ZMH</stp>
        <tr r="F503" s="1"/>
      </tp>
      <tp>
        <v>0.83</v>
        <stp/>
        <stp>NET_CHANGE</stp>
        <stp>ORLY</stp>
        <tr r="E348" s="1"/>
      </tp>
      <tp t="s">
        <v>instrument=IGT</v>
        <stp/>
        <stp>QUOTE_TREND</stp>
        <stp>IGT</stp>
        <tr r="D238" s="1"/>
      </tp>
      <tp t="s">
        <v>instrument=IFF</v>
        <stp/>
        <stp>QUOTE_TREND</stp>
        <stp>IFF</stp>
        <tr r="D237" s="1"/>
      </tp>
      <tp>
        <v>189.55</v>
        <stp/>
        <stp>LOW</stp>
        <stp>TMO</stp>
        <tr r="M445" s="1"/>
      </tp>
      <tp>
        <v>84.56</v>
        <stp/>
        <stp>LOW</stp>
        <stp>TMK</stp>
        <tr r="M444" s="1"/>
      </tp>
      <tp>
        <v>0.26</v>
        <stp/>
        <stp>NET_CHANGE</stp>
        <stp>TRIP</stp>
        <tr r="E446" s="1"/>
      </tp>
      <tp>
        <v>-1.1100000000000001</v>
        <stp/>
        <stp>NET_CHANGE</stp>
        <stp>PRGO</stp>
        <tr r="E378" s="1"/>
      </tp>
      <tp>
        <v>78.88</v>
        <stp/>
        <stp>LOW</stp>
        <stp>TAP</stp>
        <tr r="M434" s="1"/>
      </tp>
      <tp>
        <v>0</v>
        <stp/>
        <stp>NET_CHANGE</stp>
        <stp>KRFT</stp>
        <tr r="E267" s="1"/>
      </tp>
      <tp>
        <v>35.619999999999997</v>
        <stp/>
        <stp>LOW</stp>
        <stp>TDC</stp>
        <tr r="M435" s="1"/>
      </tp>
      <tp>
        <v>-2.75</v>
        <stp/>
        <stp>NET_CHANGE</stp>
        <stp>LRCX</stp>
        <tr r="E282" s="1"/>
      </tp>
      <tp>
        <v>0.08</v>
        <stp/>
        <stp>NET_CHANGE</stp>
        <stp>SRCL</stp>
        <tr r="E420" s="1"/>
      </tp>
      <tp>
        <v>-0.26</v>
        <stp/>
        <stp>NET_CHANGE</stp>
        <stp>ORCL</stp>
        <tr r="E347" s="1"/>
      </tp>
      <tp>
        <v>0</v>
        <stp/>
        <stp>NET_CHANGE</stp>
        <stp>BRCM</stp>
        <tr r="E72" s="1"/>
      </tp>
      <tp>
        <v>43.44</v>
        <stp/>
        <stp>LOW</stp>
        <stp>TER</stp>
        <tr r="M439" s="1"/>
      </tp>
      <tp>
        <v>94.614999999999995</v>
        <stp/>
        <stp>LOW</stp>
        <stp>TEL</stp>
        <tr r="M438" s="1"/>
      </tp>
      <tp>
        <v>0</v>
        <stp/>
        <stp>LOW</stp>
        <stp>TEG</stp>
        <tr r="M437" s="1"/>
      </tp>
      <tp>
        <v>1.45</v>
        <stp/>
        <stp>NET_CHANGE</stp>
        <stp>URBN</stp>
        <tr r="E461" s="1"/>
      </tp>
      <tp>
        <v>0.37</v>
        <stp/>
        <stp>NET_CHANGE</stp>
        <stp>XRAY</stp>
        <tr r="E497" s="1"/>
      </tp>
      <tp>
        <v>55.72</v>
        <stp/>
        <stp>LOW</stp>
        <stp>TGT</stp>
        <tr r="M440" s="1"/>
      </tp>
      <tp>
        <v>117.73</v>
        <stp/>
        <stp>OPEN</stp>
        <stp>DNB</stp>
        <tr r="K142" s="1"/>
      </tp>
      <tp>
        <v>1.67</v>
        <stp/>
        <stp>OPEN</stp>
        <stp>DNR</stp>
        <tr r="K143" s="1"/>
      </tp>
      <tp>
        <v>93.51</v>
        <stp/>
        <stp>OPEN</stp>
        <stp>DOV</stp>
        <tr r="K145" s="1"/>
      </tp>
      <tp>
        <v>0</v>
        <stp/>
        <stp>OPEN</stp>
        <stp>DOW</stp>
        <tr r="K146" s="1"/>
      </tp>
      <tp>
        <v>47.43</v>
        <stp/>
        <stp>OPEN</stp>
        <stp>DHI</stp>
        <tr r="K136" s="1"/>
      </tp>
      <tp>
        <v>93.12</v>
        <stp/>
        <stp>OPEN</stp>
        <stp>DHR</stp>
        <tr r="K137" s="1"/>
      </tp>
      <tp>
        <v>103.22</v>
        <stp/>
        <stp>OPEN</stp>
        <stp>DIS</stp>
        <tr r="K138" s="1"/>
      </tp>
      <tp>
        <v>28.55</v>
        <stp/>
        <stp>52HIGH</stp>
        <stp>JOY</stp>
        <tr r="N255" s="1"/>
      </tp>
      <tp>
        <v>144.35230000000001</v>
        <stp/>
        <stp>52HIGH</stp>
        <stp>JNJ</stp>
        <tr r="N253" s="1"/>
      </tp>
      <tp>
        <v>64.599999999999994</v>
        <stp/>
        <stp>OPEN</stp>
        <stp>DFS</stp>
        <tr r="K133" s="1"/>
      </tp>
      <tp>
        <v>46.17</v>
        <stp/>
        <stp>52HIGH</stp>
        <stp>JCI</stp>
        <tr r="N249" s="1"/>
      </tp>
      <tp>
        <v>10.74</v>
        <stp/>
        <stp>52HIGH</stp>
        <stp>JCP</stp>
        <tr r="N250" s="1"/>
      </tp>
      <tp>
        <v>5.5</v>
        <stp/>
        <stp>52LOW</stp>
        <stp>FOSL</stp>
        <tr r="O191" s="1"/>
      </tp>
      <tp>
        <v>149.52000000000001</v>
        <stp/>
        <stp>52LOW</stp>
        <stp>COST</stp>
        <tr r="O114" s="1"/>
      </tp>
      <tp>
        <v>52.85</v>
        <stp/>
        <stp>52LOW</stp>
        <stp>ROST</stp>
        <tr r="O398" s="1"/>
      </tp>
      <tp>
        <v>92.63</v>
        <stp/>
        <stp>OPEN</stp>
        <stp>DGX</stp>
        <tr r="K135" s="1"/>
      </tp>
      <tp>
        <v>31.6999</v>
        <stp/>
        <stp>52HIGH</stp>
        <stp>JBL</stp>
        <tr r="N248" s="1"/>
      </tp>
      <tp>
        <v>63.42</v>
        <stp/>
        <stp>52HIGH</stp>
        <stp>JEC</stp>
        <tr r="N252" s="1"/>
      </tp>
      <tp t="s">
        <v>N/A</v>
        <stp/>
        <stp>52LOW</stp>
        <stp>MOLX</stp>
        <tr r="O308" s="1"/>
      </tp>
      <tp>
        <v>737.02449999999999</v>
        <stp/>
        <stp>52LOW</stp>
        <stp>GOOG</stp>
        <tr r="O205" s="1"/>
      </tp>
      <tp>
        <v>113.64</v>
        <stp/>
        <stp>OPEN</stp>
        <stp>DTE</stp>
        <tr r="K149" s="1"/>
      </tp>
      <tp>
        <v>55.8</v>
        <stp/>
        <stp>OPEN</stp>
        <stp>DTV</stp>
        <tr r="K150" s="1"/>
      </tp>
      <tp>
        <v>152.28</v>
        <stp/>
        <stp>Last</stp>
        <stp>WYNN</stp>
        <tr r="B491" s="1"/>
      </tp>
      <tp>
        <v>88.86</v>
        <stp/>
        <stp>OPEN</stp>
        <stp>DUK</stp>
        <tr r="K151" s="1"/>
      </tp>
      <tp>
        <v>59.13</v>
        <stp/>
        <stp>Mark</stp>
        <stp>EXPD</stp>
        <tr r="P174" s="1"/>
      </tp>
      <tp>
        <v>123.95</v>
        <stp/>
        <stp>Mark</stp>
        <stp>EXPE</stp>
        <tr r="P175" s="1"/>
      </tp>
      <tp>
        <v>102.42010000000001</v>
        <stp/>
        <stp>52HIGH</stp>
        <stp>JPM</stp>
        <tr r="N256" s="1"/>
      </tp>
      <tp t="s">
        <v>instrument=APOL</v>
        <stp/>
        <stp>QUOTE_TREND</stp>
        <stp>APOL</stp>
        <tr r="D45" s="1"/>
      </tp>
      <tp>
        <v>38.42</v>
        <stp/>
        <stp>OPEN</stp>
        <stp>DVN</stp>
        <tr r="K153" s="1"/>
      </tp>
      <tp>
        <v>55.31</v>
        <stp/>
        <stp>OPEN</stp>
        <stp>DVA</stp>
        <tr r="K152" s="1"/>
      </tp>
      <tp t="s">
        <v>instrument=SPLS</v>
        <stp/>
        <stp>QUOTE_TREND</stp>
        <stp>SPLS</stp>
        <tr r="D419" s="1"/>
      </tp>
      <tp>
        <v>28.04</v>
        <stp/>
        <stp>Last</stp>
        <stp>SYMC</stp>
        <tr r="B431" s="1"/>
      </tp>
      <tp>
        <v>86.81</v>
        <stp/>
        <stp>OPEN</stp>
        <stp>DPS</stp>
        <tr r="K147" s="1"/>
      </tp>
      <tp>
        <v>82.49</v>
        <stp/>
        <stp>OPEN</stp>
        <stp>DRI</stp>
        <tr r="K148" s="1"/>
      </tp>
      <tp>
        <v>61.85</v>
        <stp/>
        <stp>52HIGH</stp>
        <stp>JWN</stp>
        <tr r="N257" s="1"/>
      </tp>
      <tp>
        <v>611147</v>
        <stp/>
        <stp>VOLUME</stp>
        <stp>VAR</stp>
        <tr r="J465" s="1"/>
      </tp>
      <tp>
        <v>1796364</v>
        <stp/>
        <stp>VOLUME</stp>
        <stp>VFC</stp>
        <tr r="J466" s="1"/>
      </tp>
      <tp t="s">
        <v>Range Bound</v>
        <stp/>
        <stp>STRENGTH_METER</stp>
        <stp>RTN</stp>
        <tr r="C401" s="1"/>
      </tp>
      <tp>
        <v>2821231</v>
        <stp/>
        <stp>VOLUME</stp>
        <stp>VLO</stp>
        <tr r="J468" s="1"/>
      </tp>
      <tp>
        <v>957362</v>
        <stp/>
        <stp>VOLUME</stp>
        <stp>VMC</stp>
        <tr r="J469" s="1"/>
      </tp>
      <tp>
        <v>509289</v>
        <stp/>
        <stp>VOLUME</stp>
        <stp>VNO</stp>
        <tr r="J470" s="1"/>
      </tp>
      <tp t="s">
        <v>Range Bound</v>
        <stp/>
        <stp>STRENGTH_METER</stp>
        <stp>RRC</stp>
        <tr r="C399" s="1"/>
      </tp>
      <tp t="s">
        <v>Range Bound</v>
        <stp/>
        <stp>STRENGTH_METER</stp>
        <stp>RSG</stp>
        <tr r="C400" s="1"/>
      </tp>
      <tp t="s">
        <v>Range Bound</v>
        <stp/>
        <stp>STRENGTH_METER</stp>
        <stp>ROP</stp>
        <tr r="C397" s="1"/>
      </tp>
      <tp t="s">
        <v>Range Bound</v>
        <stp/>
        <stp>STRENGTH_METER</stp>
        <stp>ROK</stp>
        <tr r="C396" s="1"/>
      </tp>
      <tp>
        <v>1530460</v>
        <stp/>
        <stp>VOLUME</stp>
        <stp>VTR</stp>
        <tr r="J472" s="1"/>
      </tp>
      <tp t="s">
        <v>Range Bound</v>
        <stp/>
        <stp>STRENGTH_METER</stp>
        <stp>RHT</stp>
        <tr r="C394" s="1"/>
      </tp>
      <tp t="s">
        <v>Range Bound</v>
        <stp/>
        <stp>STRENGTH_METER</stp>
        <stp>RHI</stp>
        <tr r="C393" s="1"/>
      </tp>
      <tp t="s">
        <v>Range Bound</v>
        <stp/>
        <stp>STRENGTH_METER</stp>
        <stp>RDC</stp>
        <tr r="C390" s="1"/>
      </tp>
      <tp t="s">
        <v>Range Bound</v>
        <stp/>
        <stp>STRENGTH_METER</stp>
        <stp>RAI</stp>
        <tr r="C389" s="1"/>
      </tp>
      <tp t="s">
        <v>instrument=NSC</v>
        <stp/>
        <stp>QUOTE_TREND</stp>
        <stp>NSC</stp>
        <tr r="D335" s="1"/>
      </tp>
      <tp>
        <v>54.3</v>
        <stp/>
        <stp>LOW</stp>
        <stp>SYY</stp>
        <tr r="M432" s="1"/>
      </tp>
      <tp t="s">
        <v>instrument=NRG</v>
        <stp/>
        <stp>QUOTE_TREND</stp>
        <stp>NRG</stp>
        <tr r="D334" s="1"/>
      </tp>
      <tp>
        <v>155.18</v>
        <stp/>
        <stp>LOW</stp>
        <stp>SYK</stp>
        <tr r="M430" s="1"/>
      </tp>
      <tp t="s">
        <v>instrument=NWL</v>
        <stp/>
        <stp>QUOTE_TREND</stp>
        <stp>NWL</stp>
        <tr r="D341" s="1"/>
      </tp>
      <tp t="s">
        <v>instrument=NUE</v>
        <stp/>
        <stp>QUOTE_TREND</stp>
        <stp>NUE</stp>
        <tr r="D339" s="1"/>
      </tp>
      <tp>
        <v>160.5</v>
        <stp/>
        <stp>LOW</stp>
        <stp>SPG</stp>
        <tr r="M418" s="1"/>
      </tp>
      <tp t="s">
        <v>instrument=NYX</v>
        <stp/>
        <stp>QUOTE_TREND</stp>
        <stp>NYX</stp>
        <tr r="D343" s="1"/>
      </tp>
      <tp>
        <v>119.16</v>
        <stp/>
        <stp>LOW</stp>
        <stp>SRE</stp>
        <tr r="M421" s="1"/>
      </tp>
      <tp>
        <v>215.2664</v>
        <stp/>
        <stp>LOW</stp>
        <stp>STZ</stp>
        <tr r="M426" s="1"/>
      </tp>
      <tp>
        <v>38.78</v>
        <stp/>
        <stp>LOW</stp>
        <stp>STX</stp>
        <tr r="M425" s="1"/>
      </tp>
      <tp>
        <v>91.63</v>
        <stp/>
        <stp>LOW</stp>
        <stp>STT</stp>
        <tr r="M424" s="1"/>
      </tp>
      <tp>
        <v>0</v>
        <stp/>
        <stp>LOW</stp>
        <stp>STJ</stp>
        <tr r="M423" s="1"/>
      </tp>
      <tp>
        <v>57.32</v>
        <stp/>
        <stp>LOW</stp>
        <stp>STI</stp>
        <tr r="M422" s="1"/>
      </tp>
      <tp>
        <v>0</v>
        <stp/>
        <stp>LOW</stp>
        <stp>SWY</stp>
        <tr r="M429" s="1"/>
      </tp>
      <tp>
        <v>6.16</v>
        <stp/>
        <stp>LOW</stp>
        <stp>SWN</stp>
        <tr r="M428" s="1"/>
      </tp>
      <tp>
        <v>162.185</v>
        <stp/>
        <stp>LOW</stp>
        <stp>SWK</stp>
        <tr r="M427" s="1"/>
      </tp>
      <tp>
        <v>385.61</v>
        <stp/>
        <stp>LOW</stp>
        <stp>SHW</stp>
        <tr r="M409" s="1"/>
      </tp>
      <tp t="s">
        <v>instrument=NBR</v>
        <stp/>
        <stp>QUOTE_TREND</stp>
        <stp>NBR</stp>
        <tr r="D323" s="1"/>
      </tp>
      <tp t="s">
        <v>instrument=NBL</v>
        <stp/>
        <stp>QUOTE_TREND</stp>
        <stp>NBL</stp>
        <tr r="D322" s="1"/>
      </tp>
      <tp>
        <v>113.24</v>
        <stp/>
        <stp>LOW</stp>
        <stp>SJM</stp>
        <tr r="M411" s="1"/>
      </tp>
      <tp>
        <v>10.29</v>
        <stp/>
        <stp>LOW</stp>
        <stp>SLM</stp>
        <tr r="M413" s="1"/>
      </tp>
      <tp>
        <v>61.26</v>
        <stp/>
        <stp>LOW</stp>
        <stp>SLB</stp>
        <tr r="M412" s="1"/>
      </tp>
      <tp t="s">
        <v>instrument=NFX</v>
        <stp/>
        <stp>QUOTE_TREND</stp>
        <stp>NFX</stp>
        <tr r="D329" s="1"/>
      </tp>
      <tp t="s">
        <v>instrument=NEE</v>
        <stp/>
        <stp>QUOTE_TREND</stp>
        <stp>NEE</stp>
        <tr r="D326" s="1"/>
      </tp>
      <tp>
        <v>79.8</v>
        <stp/>
        <stp>LOW</stp>
        <stp>SNI</stp>
        <tr r="M416" s="1"/>
      </tp>
      <tp t="s">
        <v>instrument=NEM</v>
        <stp/>
        <stp>QUOTE_TREND</stp>
        <stp>NEM</stp>
        <tr r="D327" s="1"/>
      </tp>
      <tp>
        <v>156.57</v>
        <stp/>
        <stp>LOW</stp>
        <stp>SNA</stp>
        <tr r="M414" s="1"/>
      </tp>
      <tp t="s">
        <v>instrument=NKE</v>
        <stp/>
        <stp>QUOTE_TREND</stp>
        <stp>NKE</stp>
        <tr r="D331" s="1"/>
      </tp>
      <tp t="s">
        <v>N/A</v>
        <stp/>
        <stp>LOW</stp>
        <stp>SAI</stp>
        <tr r="M403" s="1"/>
      </tp>
      <tp>
        <v>43.35</v>
        <stp/>
        <stp>LOW</stp>
        <stp>SCG</stp>
        <tr r="M405" s="1"/>
      </tp>
      <tp t="s">
        <v>instrument=NOV</v>
        <stp/>
        <stp>QUOTE_TREND</stp>
        <stp>NOV</stp>
        <tr r="D333" s="1"/>
      </tp>
      <tp t="s">
        <v>instrument=NOC</v>
        <stp/>
        <stp>QUOTE_TREND</stp>
        <stp>NOC</stp>
        <tr r="D332" s="1"/>
      </tp>
      <tp>
        <v>45.25</v>
        <stp/>
        <stp>LOW</stp>
        <stp>SEE</stp>
        <tr r="M408" s="1"/>
      </tp>
      <tp>
        <v>5.99</v>
        <stp/>
        <stp>OPEN</stp>
        <stp>CLF</stp>
        <tr r="K99" s="1"/>
      </tp>
      <tp>
        <v>133.84</v>
        <stp/>
        <stp>OPEN</stp>
        <stp>CLX</stp>
        <tr r="K100" s="1"/>
      </tp>
      <tp>
        <v>163</v>
        <stp/>
        <stp>OPEN</stp>
        <stp>CMI</stp>
        <tr r="K105" s="1"/>
      </tp>
      <tp>
        <v>139.57</v>
        <stp/>
        <stp>OPEN</stp>
        <stp>CME</stp>
        <tr r="K103" s="1"/>
      </tp>
      <tp>
        <v>283.56</v>
        <stp/>
        <stp>OPEN</stp>
        <stp>CMG</stp>
        <tr r="K104" s="1"/>
      </tp>
      <tp>
        <v>78.3</v>
        <stp/>
        <stp>OPEN</stp>
        <stp>CMA</stp>
        <tr r="K101" s="1"/>
      </tp>
      <tp>
        <v>50.04</v>
        <stp/>
        <stp>OPEN</stp>
        <stp>CMS</stp>
        <tr r="K106" s="1"/>
      </tp>
      <tp t="s">
        <v>N/A</v>
        <stp/>
        <stp>52HIGH</stp>
        <stp>MHP</stp>
        <tr r="N301" s="1"/>
      </tp>
      <tp>
        <v>16.12</v>
        <stp/>
        <stp>OPEN</stp>
        <stp>CNX</stp>
        <tr r="K108" s="1"/>
      </tp>
      <tp>
        <v>28.98</v>
        <stp/>
        <stp>OPEN</stp>
        <stp>CNP</stp>
        <tr r="K107" s="1"/>
      </tp>
      <tp>
        <v>106.5</v>
        <stp/>
        <stp>52HIGH</stp>
        <stp>MKC</stp>
        <tr r="N303" s="1"/>
      </tp>
      <tp>
        <v>132.30000000000001</v>
        <stp/>
        <stp>OPEN</stp>
        <stp>COL</stp>
        <tr r="K112" s="1"/>
      </tp>
      <tp>
        <v>0</v>
        <stp/>
        <stp>HIGH</stp>
        <stp>ZMH</stp>
        <tr r="L503" s="1"/>
      </tp>
      <tp>
        <v>0</v>
        <stp/>
        <stp>OPEN</stp>
        <stp>COH</stp>
        <tr r="K111" s="1"/>
      </tp>
      <tp>
        <v>86.93</v>
        <stp/>
        <stp>OPEN</stp>
        <stp>COF</stp>
        <tr r="K109" s="1"/>
      </tp>
      <tp>
        <v>28.91</v>
        <stp/>
        <stp>OPEN</stp>
        <stp>COG</stp>
        <tr r="K110" s="1"/>
      </tp>
      <tp t="s">
        <v>N/A</v>
        <stp/>
        <stp>OPEN</stp>
        <stp>COV</stp>
        <tr r="K115" s="1"/>
      </tp>
      <tp>
        <v>50.24</v>
        <stp/>
        <stp>OPEN</stp>
        <stp>COP</stp>
        <tr r="K113" s="1"/>
      </tp>
      <tp>
        <v>0</v>
        <stp/>
        <stp>52HIGH</stp>
        <stp>MJN</stp>
        <tr r="N302" s="1"/>
      </tp>
      <tp>
        <v>3.9</v>
        <stp/>
        <stp>OPEN</stp>
        <stp>CHK</stp>
        <tr r="K94" s="1"/>
      </tp>
      <tp>
        <v>238.9</v>
        <stp/>
        <stp>52HIGH</stp>
        <stp>MMM</stp>
        <tr r="N305" s="1"/>
      </tp>
      <tp>
        <v>84.9</v>
        <stp/>
        <stp>52HIGH</stp>
        <stp>MMC</stp>
        <tr r="N304" s="1"/>
      </tp>
      <tp t="s">
        <v>instrument=NWSA</v>
        <stp/>
        <stp>QUOTE_TREND</stp>
        <stp>NWSA</stp>
        <tr r="D342" s="1"/>
      </tp>
      <tp>
        <v>122.795</v>
        <stp/>
        <stp>52HIGH</stp>
        <stp>MON</stp>
        <tr r="N309" s="1"/>
      </tp>
      <tp>
        <v>34.36</v>
        <stp/>
        <stp>52HIGH</stp>
        <stp>MOS</stp>
        <tr r="N310" s="1"/>
      </tp>
      <tp>
        <v>73.34</v>
        <stp/>
        <stp>52HIGH</stp>
        <stp>MAC</stp>
        <tr r="N290" s="1"/>
      </tp>
      <tp>
        <v>32.479999999999997</v>
        <stp/>
        <stp>52HIGH</stp>
        <stp>MAT</stp>
        <tr r="N293" s="1"/>
      </tp>
      <tp>
        <v>41.1</v>
        <stp/>
        <stp>52HIGH</stp>
        <stp>MAS</stp>
        <tr r="N292" s="1"/>
      </tp>
      <tp>
        <v>124.42</v>
        <stp/>
        <stp>52HIGH</stp>
        <stp>MAR</stp>
        <tr r="N291" s="1"/>
      </tp>
      <tp t="s">
        <v>N/A</v>
        <stp/>
        <stp>OPEN</stp>
        <stp>CFN</stp>
        <tr r="K93" s="1"/>
      </tp>
      <tp>
        <v>148</v>
        <stp/>
        <stp>52HIGH</stp>
        <stp>MCO</stp>
        <tr r="N297" s="1"/>
      </tp>
      <tp>
        <v>169.29</v>
        <stp/>
        <stp>52HIGH</stp>
        <stp>MCK</stp>
        <tr r="N296" s="1"/>
      </tp>
      <tp>
        <v>170.92</v>
        <stp/>
        <stp>52HIGH</stp>
        <stp>MCD</stp>
        <tr r="N294" s="1"/>
      </tp>
      <tp>
        <v>63.41</v>
        <stp/>
        <stp>52LOW</stp>
        <stp>CHRW</stp>
        <tr r="O95" s="1"/>
      </tp>
      <tp>
        <v>55.91</v>
        <stp/>
        <stp>52HIGH</stp>
        <stp>MET</stp>
        <tr r="N300" s="1"/>
      </tp>
      <tp>
        <v>0</v>
        <stp/>
        <stp>OPEN</stp>
        <stp>CAM</stp>
        <tr r="K82" s="1"/>
      </tp>
      <tp>
        <v>57.04</v>
        <stp/>
        <stp>OPEN</stp>
        <stp>CAH</stp>
        <tr r="K81" s="1"/>
      </tp>
      <tp>
        <v>35.44</v>
        <stp/>
        <stp>OPEN</stp>
        <stp>CAG</stp>
        <tr r="K80" s="1"/>
      </tp>
      <tp>
        <v>135.80000000000001</v>
        <stp/>
        <stp>OPEN</stp>
        <stp>CAT</stp>
        <tr r="K83" s="1"/>
      </tp>
      <tp>
        <v>89.72</v>
        <stp/>
        <stp>52HIGH</stp>
        <stp>MDT</stp>
        <tr r="N299" s="1"/>
      </tp>
      <tp>
        <v>42.65</v>
        <stp/>
        <stp>OPEN</stp>
        <stp>CBG</stp>
        <tr r="K85" s="1"/>
      </tp>
      <tp>
        <v>56.3</v>
        <stp/>
        <stp>OPEN</stp>
        <stp>CBS</stp>
        <tr r="K86" s="1"/>
      </tp>
      <tp>
        <v>65.790000000000006</v>
        <stp/>
        <stp>OPEN</stp>
        <stp>CCL</stp>
        <tr r="K89" s="1"/>
      </tp>
      <tp>
        <v>110.52</v>
        <stp/>
        <stp>OPEN</stp>
        <stp>CCI</stp>
        <tr r="K88" s="1"/>
      </tp>
      <tp>
        <v>38.1</v>
        <stp/>
        <stp>OPEN</stp>
        <stp>CCE</stp>
        <tr r="K87" s="1"/>
      </tp>
      <tp>
        <v>45.87</v>
        <stp/>
        <stp>52HIGH</stp>
        <stp>MYL</stp>
        <tr r="N321" s="1"/>
      </tp>
      <tp t="s">
        <v>N/A</v>
        <stp/>
        <stp>52LOW</stp>
        <stp>YHOO</stp>
        <tr r="O500" s="1"/>
      </tp>
      <tp>
        <v>14.71</v>
        <stp/>
        <stp>OPEN</stp>
        <stp>CTL</stp>
        <tr r="K122" s="1"/>
      </tp>
      <tp>
        <v>63.41</v>
        <stp/>
        <stp>52HIGH</stp>
        <stp>MPC</stp>
        <tr r="N311" s="1"/>
      </tp>
      <tp>
        <v>0</v>
        <stp/>
        <stp>OPEN</stp>
        <stp>CVC</stp>
        <tr r="K125" s="1"/>
      </tp>
      <tp>
        <v>114.67</v>
        <stp/>
        <stp>OPEN</stp>
        <stp>CVX</stp>
        <tr r="K127" s="1"/>
      </tp>
      <tp>
        <v>70.25</v>
        <stp/>
        <stp>OPEN</stp>
        <stp>CVS</stp>
        <tr r="K126" s="1"/>
      </tp>
      <tp>
        <v>94.94</v>
        <stp/>
        <stp>52HIGH</stp>
        <stp>MSI</stp>
        <tr r="N316" s="1"/>
      </tp>
      <tp>
        <v>19.28</v>
        <stp/>
        <stp>52HIGH</stp>
        <stp>MRO</stp>
        <tr r="N313" s="1"/>
      </tp>
      <tp>
        <v>66.8</v>
        <stp/>
        <stp>52HIGH</stp>
        <stp>MRK</stp>
        <tr r="N312" s="1"/>
      </tp>
      <tp>
        <v>48.13</v>
        <stp/>
        <stp>OPEN</stp>
        <stp>CPB</stp>
        <tr r="K116" s="1"/>
      </tp>
      <tp>
        <v>35.19</v>
        <stp/>
        <stp>52HIGH</stp>
        <stp>MUR</stp>
        <tr r="N319" s="1"/>
      </tp>
      <tp>
        <v>173.72</v>
        <stp/>
        <stp>52HIGH</stp>
        <stp>MTB</stp>
        <tr r="N317" s="1"/>
      </tp>
      <tp>
        <v>107.19</v>
        <stp/>
        <stp>OPEN</stp>
        <stp>CRM</stp>
        <tr r="K117" s="1"/>
      </tp>
      <tp>
        <v>0</v>
        <stp/>
        <stp>52HIGH</stp>
        <stp>MWV</stp>
        <tr r="N320" s="1"/>
      </tp>
      <tp>
        <v>0</v>
        <stp/>
        <stp>OPEN</stp>
        <stp>CSC</stp>
        <tr r="K118" s="1"/>
      </tp>
      <tp>
        <v>49.96</v>
        <stp/>
        <stp>OPEN</stp>
        <stp>CSX</stp>
        <tr r="K120" s="1"/>
      </tp>
      <tp>
        <v>4661980</v>
        <stp/>
        <stp>VOLUME</stp>
        <stp>QEP</stp>
        <tr r="J387" s="1"/>
      </tp>
      <tp t="s">
        <v>Range Bound</v>
        <stp/>
        <stp>STRENGTH_METER</stp>
        <stp>UTX</stp>
        <tr r="C463" s="1"/>
      </tp>
      <tp t="s">
        <v>Range Bound</v>
        <stp/>
        <stp>STRENGTH_METER</stp>
        <stp>UPS</stp>
        <tr r="C460" s="1"/>
      </tp>
      <tp t="s">
        <v>Range Bound</v>
        <stp/>
        <stp>STRENGTH_METER</stp>
        <stp>USB</stp>
        <tr r="C462" s="1"/>
      </tp>
      <tp t="s">
        <v>Range Bound</v>
        <stp/>
        <stp>STRENGTH_METER</stp>
        <stp>UNP</stp>
        <tr r="C459" s="1"/>
      </tp>
      <tp t="s">
        <v>Range Bound</v>
        <stp/>
        <stp>STRENGTH_METER</stp>
        <stp>UNH</stp>
        <tr r="C457" s="1"/>
      </tp>
      <tp t="s">
        <v>Range Bound</v>
        <stp/>
        <stp>STRENGTH_METER</stp>
        <stp>UNM</stp>
        <tr r="C458" s="1"/>
      </tp>
      <tp>
        <v>0.87</v>
        <stp/>
        <stp>NET_CHANGE</stp>
        <stp>CTXS</stp>
        <tr r="E124" s="1"/>
      </tp>
      <tp>
        <v>17.29</v>
        <stp/>
        <stp>LOW</stp>
        <stp>RRC</stp>
        <tr r="M399" s="1"/>
      </tp>
      <tp t="s">
        <v>instrument=OXY</v>
        <stp/>
        <stp>QUOTE_TREND</stp>
        <stp>OXY</stp>
        <tr r="D349" s="1"/>
      </tp>
      <tp>
        <v>62.44</v>
        <stp/>
        <stp>LOW</stp>
        <stp>RSG</stp>
        <tr r="M400" s="1"/>
      </tp>
      <tp>
        <v>182.81</v>
        <stp/>
        <stp>LOW</stp>
        <stp>RTN</stp>
        <tr r="M401" s="1"/>
      </tp>
      <tp>
        <v>-2.4700000000000002</v>
        <stp/>
        <stp>NET_CHANGE</stp>
        <stp>CTSH</stp>
        <tr r="E123" s="1"/>
      </tp>
      <tp>
        <v>0.36</v>
        <stp/>
        <stp>NET_CHANGE</stp>
        <stp>NTRS</stp>
        <tr r="E337" s="1"/>
      </tp>
      <tp>
        <v>125.065</v>
        <stp/>
        <stp>LOW</stp>
        <stp>RHT</stp>
        <tr r="M394" s="1"/>
      </tp>
      <tp>
        <v>54.24</v>
        <stp/>
        <stp>LOW</stp>
        <stp>RHI</stp>
        <tr r="M393" s="1"/>
      </tp>
      <tp>
        <v>254.53</v>
        <stp/>
        <stp>LOW</stp>
        <stp>ROP</stp>
        <tr r="M397" s="1"/>
      </tp>
      <tp>
        <v>193.03</v>
        <stp/>
        <stp>LOW</stp>
        <stp>ROK</stp>
        <tr r="M396" s="1"/>
      </tp>
      <tp t="s">
        <v>instrument=OKE</v>
        <stp/>
        <stp>QUOTE_TREND</stp>
        <stp>OKE</stp>
        <tr r="D345" s="1"/>
      </tp>
      <tp>
        <v>0</v>
        <stp/>
        <stp>LOW</stp>
        <stp>RAI</stp>
        <tr r="M389" s="1"/>
      </tp>
      <tp>
        <v>0.16</v>
        <stp/>
        <stp>NET_CHANGE</stp>
        <stp>ETFC</stp>
        <tr r="E169" s="1"/>
      </tp>
      <tp>
        <v>13.37</v>
        <stp/>
        <stp>LOW</stp>
        <stp>RDC</stp>
        <tr r="M390" s="1"/>
      </tp>
      <tp t="s">
        <v>instrument=OMC</v>
        <stp/>
        <stp>QUOTE_TREND</stp>
        <stp>OMC</stp>
        <tr r="D346" s="1"/>
      </tp>
      <tp>
        <v>-0.16</v>
        <stp/>
        <stp>NET_CHANGE</stp>
        <stp>NTAP</stp>
        <tr r="E336" s="1"/>
      </tp>
      <tp>
        <v>-1.19</v>
        <stp/>
        <stp>NET_CHANGE</stp>
        <stp>CTAS</stp>
        <tr r="E121" s="1"/>
      </tp>
      <tp>
        <v>40.22</v>
        <stp/>
        <stp>OPEN</stp>
        <stp>BLL</stp>
        <tr r="K68" s="1"/>
      </tp>
      <tp>
        <v>471.75</v>
        <stp/>
        <stp>OPEN</stp>
        <stp>BLK</stp>
        <tr r="K67" s="1"/>
      </tp>
      <tp t="s">
        <v>N/A</v>
        <stp/>
        <stp>OPEN</stp>
        <stp>BMC</stp>
        <tr r="K69" s="1"/>
      </tp>
      <tp>
        <v>61.56</v>
        <stp/>
        <stp>OPEN</stp>
        <stp>BMY</stp>
        <tr r="K71" s="1"/>
      </tp>
      <tp>
        <v>45.69</v>
        <stp/>
        <stp>OPEN</stp>
        <stp>BMS</stp>
        <tr r="K70" s="1"/>
      </tp>
      <tp>
        <v>0</v>
        <stp/>
        <stp>OPEN</stp>
        <stp>BHI</stp>
        <tr r="K64" s="1"/>
      </tp>
      <tp>
        <v>322.19</v>
        <stp/>
        <stp>52HIGH</stp>
        <stp>LMT</stp>
        <tr r="N278" s="1"/>
      </tp>
      <tp>
        <v>192</v>
        <stp/>
        <stp>52HIGH</stp>
        <stp>LLL</stp>
        <tr r="N274" s="1"/>
      </tp>
      <tp>
        <v>89.09</v>
        <stp/>
        <stp>52HIGH</stp>
        <stp>LLY</stp>
        <tr r="N276" s="1"/>
      </tp>
      <tp>
        <v>86.25</v>
        <stp/>
        <stp>52HIGH</stp>
        <stp>LOW</stp>
        <tr r="N281" s="1"/>
      </tp>
      <tp>
        <v>77.454999999999998</v>
        <stp/>
        <stp>52HIGH</stp>
        <stp>LNC</stp>
        <tr r="N279" s="1"/>
      </tp>
      <tp>
        <v>220.77</v>
        <stp/>
        <stp>OPEN</stp>
        <stp>BDX</stp>
        <tr r="K60" s="1"/>
      </tp>
      <tp>
        <v>40.4</v>
        <stp/>
        <stp>OPEN</stp>
        <stp>BEN</stp>
        <tr r="K62" s="1"/>
      </tp>
      <tp>
        <v>101.2</v>
        <stp/>
        <stp>52LOW</stp>
        <stp>FISV</stp>
        <tr r="O185" s="1"/>
      </tp>
      <tp>
        <v>59.32</v>
        <stp/>
        <stp>52HIGH</stp>
        <stp>LEN</stp>
        <tr r="N271" s="1"/>
      </tp>
      <tp>
        <v>54.97</v>
        <stp/>
        <stp>52HIGH</stp>
        <stp>LEG</stp>
        <tr r="N270" s="1"/>
      </tp>
      <tp>
        <v>26.51</v>
        <stp/>
        <stp>OPEN</stp>
        <stp>BAC</stp>
        <tr r="K54" s="1"/>
      </tp>
      <tp>
        <v>64.66</v>
        <stp/>
        <stp>OPEN</stp>
        <stp>BAX</stp>
        <tr r="K55" s="1"/>
      </tp>
      <tp>
        <v>23.2</v>
        <stp/>
        <stp>52LOW</stp>
        <stp>FITB</stp>
        <tr r="O186" s="1"/>
      </tp>
      <tp>
        <v>55.57</v>
        <stp/>
        <stp>OPEN</stp>
        <stp>BBY</stp>
        <tr r="K58" s="1"/>
      </tp>
      <tp>
        <v>46.42</v>
        <stp/>
        <stp>OPEN</stp>
        <stp>BBT</stp>
        <tr r="K57" s="1"/>
      </tp>
      <tp>
        <v>332.75</v>
        <stp/>
        <stp>OPEN</stp>
        <stp>BCR</stp>
        <tr r="K59" s="1"/>
      </tp>
      <tp>
        <v>107.83</v>
        <stp/>
        <stp>52HIGH</stp>
        <stp>LYB</stp>
        <tr r="N287" s="1"/>
      </tp>
      <tp>
        <v>244.28</v>
        <stp/>
        <stp>52LOW</stp>
        <stp>BIIB</stp>
        <tr r="O65" s="1"/>
      </tp>
      <tp>
        <v>48.68</v>
        <stp/>
        <stp>ASK</stp>
        <stp>FAST</stp>
        <tr r="G177" s="1"/>
      </tp>
      <tp>
        <v>170.02</v>
        <stp/>
        <stp>ASK</stp>
        <stp>AAPL</stp>
        <tr r="G6" s="1"/>
      </tp>
      <tp t="s">
        <v>instrument=NVDA</v>
        <stp/>
        <stp>QUOTE_TREND</stp>
        <stp>NVDA</stp>
        <tr r="D340" s="1"/>
      </tp>
      <tp>
        <v>124.56</v>
        <stp/>
        <stp>OPEN</stp>
        <stp>BXP</stp>
        <tr r="K77" s="1"/>
      </tp>
      <tp>
        <v>63.759</v>
        <stp/>
        <stp>52LOW</stp>
        <stp>GILD</stp>
        <tr r="O200" s="1"/>
      </tp>
      <tp>
        <v>36.57</v>
        <stp/>
        <stp>52LOW</stp>
        <stp>ZION</stp>
        <tr r="O502" s="1"/>
      </tp>
      <tp>
        <v>68.239999999999995</v>
        <stp/>
        <stp>52LOW</stp>
        <stp>CINF</stp>
        <tr r="O97" s="1"/>
      </tp>
      <tp>
        <v>31.35</v>
        <stp/>
        <stp>OPEN</stp>
        <stp>BTU</stp>
        <tr r="K75" s="1"/>
      </tp>
      <tp>
        <v>22.13</v>
        <stp/>
        <stp>52LOW</stp>
        <stp>VIAB</stp>
        <tr r="O467" s="1"/>
      </tp>
      <tp>
        <v>135.33000000000001</v>
        <stp/>
        <stp>52LOW</stp>
        <stp>SIAL</stp>
        <tr r="O410" s="1"/>
      </tp>
      <tp>
        <v>89.72</v>
        <stp/>
        <stp>52HIGH</stp>
        <stp>LSI</stp>
        <tr r="N283" s="1"/>
      </tp>
      <tp>
        <v>51.73</v>
        <stp/>
        <stp>OPEN</stp>
        <stp>BWA</stp>
        <tr r="K76" s="1"/>
      </tp>
      <tp>
        <v>65.209999999999994</v>
        <stp/>
        <stp>ASK</stp>
        <stp>PAYX</stp>
        <tr r="G350" s="1"/>
      </tp>
      <tp>
        <v>27.335000000000001</v>
        <stp/>
        <stp>52HIGH</stp>
        <stp>LUK</stp>
        <tr r="N285" s="1"/>
      </tp>
      <tp>
        <v>64.39</v>
        <stp/>
        <stp>52HIGH</stp>
        <stp>LUV</stp>
        <tr r="N286" s="1"/>
      </tp>
      <tp t="s">
        <v>N/A</v>
        <stp/>
        <stp>52HIGH</stp>
        <stp>LTD</stp>
        <tr r="N284" s="1"/>
      </tp>
      <tp>
        <v>28.2</v>
        <stp/>
        <stp>OPEN</stp>
        <stp>BSX</stp>
        <tr r="K74" s="1"/>
      </tp>
      <tp>
        <v>2.1</v>
        <stp/>
        <stp>52LOW</stp>
        <stp>LIFE</stp>
        <tr r="O273" s="1"/>
      </tp>
      <tp>
        <v>2445905</v>
        <stp/>
        <stp>VOLUME</stp>
        <stp>PBI</stp>
        <tr r="J352" s="1"/>
      </tp>
      <tp>
        <v>0</v>
        <stp/>
        <stp>VOLUME</stp>
        <stp>PCP</stp>
        <tr r="J357" s="1"/>
      </tp>
      <tp>
        <v>0</v>
        <stp/>
        <stp>VOLUME</stp>
        <stp>PCL</stp>
        <tr r="J355" s="1"/>
      </tp>
      <tp>
        <v>7712283</v>
        <stp/>
        <stp>VOLUME</stp>
        <stp>PCG</stp>
        <tr r="J354" s="1"/>
      </tp>
      <tp t="s">
        <v>Range Bound</v>
        <stp/>
        <stp>STRENGTH_METER</stp>
        <stp>TXT</stp>
        <tr r="C455" s="1"/>
      </tp>
      <tp t="s">
        <v>Range Bound</v>
        <stp/>
        <stp>STRENGTH_METER</stp>
        <stp>TXN</stp>
        <tr r="C454" s="1"/>
      </tp>
      <tp>
        <v>2635146</v>
        <stp/>
        <stp>VOLUME</stp>
        <stp>PEP</stp>
        <tr r="J360" s="1"/>
      </tp>
      <tp t="s">
        <v>Downtrend</v>
        <stp/>
        <stp>STRENGTH_METER</stp>
        <stp>TYC</stp>
        <tr r="C456" s="1"/>
      </tp>
      <tp>
        <v>5620755</v>
        <stp/>
        <stp>VOLUME</stp>
        <stp>PEG</stp>
        <tr r="J359" s="1"/>
      </tp>
      <tp>
        <v>14817055</v>
        <stp/>
        <stp>VOLUME</stp>
        <stp>PFE</stp>
        <tr r="J362" s="1"/>
      </tp>
      <tp>
        <v>847053</v>
        <stp/>
        <stp>VOLUME</stp>
        <stp>PFG</stp>
        <tr r="J363" s="1"/>
      </tp>
      <tp>
        <v>2233630</v>
        <stp/>
        <stp>VOLUME</stp>
        <stp>PGR</stp>
        <tr r="J365" s="1"/>
      </tp>
      <tp>
        <v>6164927</v>
        <stp/>
        <stp>VOLUME</stp>
        <stp>PHM</stp>
        <tr r="J367" s="1"/>
      </tp>
      <tp t="s">
        <v>Downtrend</v>
        <stp/>
        <stp>STRENGTH_METER</stp>
        <stp>TWX</stp>
        <tr r="C453" s="1"/>
      </tp>
      <tp>
        <v>611665</v>
        <stp/>
        <stp>VOLUME</stp>
        <stp>PKI</stp>
        <tr r="J368" s="1"/>
      </tp>
      <tp t="s">
        <v>N/A</v>
        <stp/>
        <stp>STRENGTH_METER</stp>
        <stp>TWC</stp>
        <tr r="C452" s="1"/>
      </tp>
      <tp>
        <v>0</v>
        <stp/>
        <stp>VOLUME</stp>
        <stp>PLL</stp>
        <tr r="J370" s="1"/>
      </tp>
      <tp>
        <v>1302837</v>
        <stp/>
        <stp>VOLUME</stp>
        <stp>PLD</stp>
        <tr r="J369" s="1"/>
      </tp>
      <tp>
        <v>487402</v>
        <stp/>
        <stp>VOLUME</stp>
        <stp>PNW</stp>
        <tr r="J374" s="1"/>
      </tp>
      <tp t="s">
        <v>Range Bound</v>
        <stp/>
        <stp>STRENGTH_METER</stp>
        <stp>TRV</stp>
        <tr r="C448" s="1"/>
      </tp>
      <tp>
        <v>1132526</v>
        <stp/>
        <stp>VOLUME</stp>
        <stp>PNR</stp>
        <tr r="J373" s="1"/>
      </tp>
      <tp>
        <v>1066390</v>
        <stp/>
        <stp>VOLUME</stp>
        <stp>PNC</stp>
        <tr r="J372" s="1"/>
      </tp>
      <tp t="s">
        <v>Range Bound</v>
        <stp/>
        <stp>STRENGTH_METER</stp>
        <stp>TSS</stp>
        <tr r="C451" s="1"/>
      </tp>
      <tp>
        <v>0</v>
        <stp/>
        <stp>VOLUME</stp>
        <stp>POM</stp>
        <tr r="J375" s="1"/>
      </tp>
      <tp t="s">
        <v>Range Bound</v>
        <stp/>
        <stp>STRENGTH_METER</stp>
        <stp>TSO</stp>
        <tr r="C450" s="1"/>
      </tp>
      <tp t="s">
        <v>Range Bound</v>
        <stp/>
        <stp>STRENGTH_METER</stp>
        <stp>TSN</stp>
        <tr r="C449" s="1"/>
      </tp>
      <tp>
        <v>4342535</v>
        <stp/>
        <stp>VOLUME</stp>
        <stp>PPL</stp>
        <tr r="J377" s="1"/>
      </tp>
      <tp>
        <v>1655611</v>
        <stp/>
        <stp>VOLUME</stp>
        <stp>PPG</stp>
        <tr r="J376" s="1"/>
      </tp>
      <tp t="s">
        <v>Range Bound</v>
        <stp/>
        <stp>STRENGTH_METER</stp>
        <stp>TMK</stp>
        <tr r="C444" s="1"/>
      </tp>
      <tp t="s">
        <v>Range Bound</v>
        <stp/>
        <stp>STRENGTH_METER</stp>
        <stp>TMO</stp>
        <tr r="C445" s="1"/>
      </tp>
      <tp>
        <v>1231334</v>
        <stp/>
        <stp>VOLUME</stp>
        <stp>PRU</stp>
        <tr r="J379" s="1"/>
      </tp>
      <tp>
        <v>1339489</v>
        <stp/>
        <stp>VOLUME</stp>
        <stp>PSX</stp>
        <tr r="J381" s="1"/>
      </tp>
      <tp>
        <v>680126</v>
        <stp/>
        <stp>VOLUME</stp>
        <stp>PSA</stp>
        <tr r="J380" s="1"/>
      </tp>
      <tp t="s">
        <v>Range Bound</v>
        <stp/>
        <stp>STRENGTH_METER</stp>
        <stp>THC</stp>
        <tr r="C441" s="1"/>
      </tp>
      <tp t="s">
        <v>Range Bound</v>
        <stp/>
        <stp>STRENGTH_METER</stp>
        <stp>TIF</stp>
        <tr r="C442" s="1"/>
      </tp>
      <tp t="s">
        <v>Range Bound</v>
        <stp/>
        <stp>STRENGTH_METER</stp>
        <stp>TJX</stp>
        <tr r="C443" s="1"/>
      </tp>
      <tp>
        <v>1297259</v>
        <stp/>
        <stp>VOLUME</stp>
        <stp>PVH</stp>
        <tr r="J382" s="1"/>
      </tp>
      <tp>
        <v>1588713</v>
        <stp/>
        <stp>VOLUME</stp>
        <stp>PWR</stp>
        <tr r="J383" s="1"/>
      </tp>
      <tp t="s">
        <v>Range Bound</v>
        <stp/>
        <stp>STRENGTH_METER</stp>
        <stp>TDC</stp>
        <tr r="C435" s="1"/>
      </tp>
      <tp>
        <v>951615</v>
        <stp/>
        <stp>VOLUME</stp>
        <stp>PXD</stp>
        <tr r="J385" s="1"/>
      </tp>
      <tp t="s">
        <v>Uptrend</v>
        <stp/>
        <stp>STRENGTH_METER</stp>
        <stp>TER</stp>
        <tr r="C439" s="1"/>
      </tp>
      <tp t="s">
        <v>Range Bound</v>
        <stp/>
        <stp>STRENGTH_METER</stp>
        <stp>TEL</stp>
        <tr r="C438" s="1"/>
      </tp>
      <tp t="s">
        <v>N/A</v>
        <stp/>
        <stp>STRENGTH_METER</stp>
        <stp>TEG</stp>
        <tr r="C437" s="1"/>
      </tp>
      <tp t="s">
        <v>Range Bound</v>
        <stp/>
        <stp>STRENGTH_METER</stp>
        <stp>TGT</stp>
        <tr r="C440" s="1"/>
      </tp>
      <tp t="s">
        <v>Range Bound</v>
        <stp/>
        <stp>STRENGTH_METER</stp>
        <stp>TAP</stp>
        <tr r="C434" s="1"/>
      </tp>
      <tp t="s">
        <v>instrument=LSI</v>
        <stp/>
        <stp>QUOTE_TREND</stp>
        <stp>LSI</stp>
        <tr r="D283" s="1"/>
      </tp>
      <tp t="s">
        <v>instrument=LUV</v>
        <stp/>
        <stp>QUOTE_TREND</stp>
        <stp>LUV</stp>
        <tr r="D286" s="1"/>
      </tp>
      <tp t="s">
        <v>instrument=LUK</v>
        <stp/>
        <stp>QUOTE_TREND</stp>
        <stp>LUK</stp>
        <tr r="D285" s="1"/>
      </tp>
      <tp t="s">
        <v>instrument=LTD</v>
        <stp/>
        <stp>QUOTE_TREND</stp>
        <stp>LTD</stp>
        <tr r="D284" s="1"/>
      </tp>
      <tp t="s">
        <v>instrument=LYB</v>
        <stp/>
        <stp>QUOTE_TREND</stp>
        <stp>LYB</stp>
        <tr r="D287" s="1"/>
      </tp>
      <tp>
        <v>0.12</v>
        <stp/>
        <stp>NET_CHANGE</stp>
        <stp>NWSA</stp>
        <tr r="E342" s="1"/>
      </tp>
      <tp t="s">
        <v>instrument=LEG</v>
        <stp/>
        <stp>QUOTE_TREND</stp>
        <stp>LEG</stp>
        <tr r="D270" s="1"/>
      </tp>
      <tp t="s">
        <v>instrument=LEN</v>
        <stp/>
        <stp>QUOTE_TREND</stp>
        <stp>LEN</stp>
        <tr r="D271" s="1"/>
      </tp>
      <tp t="s">
        <v>instrument=LOW</v>
        <stp/>
        <stp>QUOTE_TREND</stp>
        <stp>LOW</stp>
        <tr r="D281" s="1"/>
      </tp>
      <tp>
        <v>8.61</v>
        <stp/>
        <stp>LOW</stp>
        <stp>QEP</stp>
        <tr r="M387" s="1"/>
      </tp>
      <tp t="s">
        <v>instrument=LNC</v>
        <stp/>
        <stp>QUOTE_TREND</stp>
        <stp>LNC</stp>
        <tr r="D279" s="1"/>
      </tp>
      <tp t="s">
        <v>instrument=LMT</v>
        <stp/>
        <stp>QUOTE_TREND</stp>
        <stp>LMT</stp>
        <tr r="D278" s="1"/>
      </tp>
      <tp t="s">
        <v>instrument=LLY</v>
        <stp/>
        <stp>QUOTE_TREND</stp>
        <stp>LLY</stp>
        <tr r="D276" s="1"/>
      </tp>
      <tp t="s">
        <v>instrument=LLL</v>
        <stp/>
        <stp>QUOTE_TREND</stp>
        <stp>LLL</stp>
        <tr r="D274" s="1"/>
      </tp>
      <tp>
        <v>99.05</v>
        <stp/>
        <stp>OPEN</stp>
        <stp>ALL</stp>
        <tr r="K29" s="1"/>
      </tp>
      <tp>
        <v>94.89</v>
        <stp/>
        <stp>ASK</stp>
        <stp>ABBV</stp>
        <tr r="G7" s="1"/>
      </tp>
      <tp>
        <v>21.04</v>
        <stp/>
        <stp>ASK</stp>
        <stp>BBBY</stp>
        <tr r="G56" s="1"/>
      </tp>
      <tp>
        <v>80.66</v>
        <stp/>
        <stp>HIGH</stp>
        <stp>XOM</stp>
        <tr r="L496" s="1"/>
      </tp>
      <tp>
        <v>11.3</v>
        <stp/>
        <stp>OPEN</stp>
        <stp>AMD</stp>
        <tr r="K33" s="1"/>
      </tp>
      <tp>
        <v>147.97</v>
        <stp/>
        <stp>OPEN</stp>
        <stp>AMT</stp>
        <tr r="K36" s="1"/>
      </tp>
      <tp>
        <v>156.56</v>
        <stp/>
        <stp>OPEN</stp>
        <stp>AMP</stp>
        <tr r="K35" s="1"/>
      </tp>
      <tp>
        <v>18.32</v>
        <stp/>
        <stp>ASK</stp>
        <stp>PBCT</stp>
        <tr r="G351" s="1"/>
      </tp>
      <tp>
        <v>15.58</v>
        <stp/>
        <stp>OPEN</stp>
        <stp>ANF</stp>
        <tr r="K39" s="1"/>
      </tp>
      <tp>
        <v>59.47</v>
        <stp/>
        <stp>52HIGH</stp>
        <stp>OKE</stp>
        <tr r="N345" s="1"/>
      </tp>
      <tp>
        <v>140.78</v>
        <stp/>
        <stp>OPEN</stp>
        <stp>AON</stp>
        <tr r="K40" s="1"/>
      </tp>
      <tp>
        <v>13.56</v>
        <stp/>
        <stp>ASK</stp>
        <stp>HBAN</stp>
        <tr r="G215" s="1"/>
      </tp>
      <tp>
        <v>35.61</v>
        <stp/>
        <stp>ASK</stp>
        <stp>EBAY</stp>
        <tr r="G155" s="1"/>
      </tp>
      <tp>
        <v>89.66</v>
        <stp/>
        <stp>52HIGH</stp>
        <stp>OMC</stp>
        <tr r="N346" s="1"/>
      </tp>
      <tp>
        <v>59.78</v>
        <stp/>
        <stp>OPEN</stp>
        <stp>AIG</stp>
        <tr r="K25" s="1"/>
      </tp>
      <tp>
        <v>97.08</v>
        <stp/>
        <stp>OPEN</stp>
        <stp>AIZ</stp>
        <tr r="K27" s="1"/>
      </tp>
      <tp>
        <v>44.52</v>
        <stp/>
        <stp>OPEN</stp>
        <stp>AIV</stp>
        <tr r="K26" s="1"/>
      </tp>
      <tp>
        <v>39.049999999999997</v>
        <stp/>
        <stp>OPEN</stp>
        <stp>ADM</stp>
        <tr r="K15" s="1"/>
      </tp>
      <tp>
        <v>91</v>
        <stp/>
        <stp>OPEN</stp>
        <stp>ADI</stp>
        <tr r="K14" s="1"/>
      </tp>
      <tp>
        <v>0</v>
        <stp/>
        <stp>OPEN</stp>
        <stp>ADT</stp>
        <tr r="K18" s="1"/>
      </tp>
      <tp>
        <v>110.98</v>
        <stp/>
        <stp>OPEN</stp>
        <stp>ADP</stp>
        <tr r="K16" s="1"/>
      </tp>
      <tp>
        <v>63.43</v>
        <stp/>
        <stp>OPEN</stp>
        <stp>AEE</stp>
        <tr r="K19" s="1"/>
      </tp>
      <tp>
        <v>174.3</v>
        <stp/>
        <stp>OPEN</stp>
        <stp>AET</stp>
        <tr r="K22" s="1"/>
      </tp>
      <tp>
        <v>76.489999999999995</v>
        <stp/>
        <stp>OPEN</stp>
        <stp>AEP</stp>
        <tr r="K20" s="1"/>
      </tp>
      <tp>
        <v>10.77</v>
        <stp/>
        <stp>OPEN</stp>
        <stp>AES</stp>
        <tr r="K21" s="1"/>
      </tp>
      <tp>
        <v>83.98</v>
        <stp/>
        <stp>OPEN</stp>
        <stp>AFL</stp>
        <tr r="K23" s="1"/>
      </tp>
      <tp>
        <v>174</v>
        <stp/>
        <stp>OPEN</stp>
        <stp>AGN</stp>
        <tr r="K24" s="1"/>
      </tp>
      <tp>
        <v>51.28</v>
        <stp/>
        <stp>HIGH</stp>
        <stp>XEL</stp>
        <tr r="L493" s="1"/>
      </tp>
      <tp>
        <v>79.650000000000006</v>
        <stp/>
        <stp>OPEN</stp>
        <stp>ABC</stp>
        <tr r="K8" s="1"/>
      </tp>
      <tp>
        <v>55.29</v>
        <stp/>
        <stp>OPEN</stp>
        <stp>ABT</stp>
        <tr r="K9" s="1"/>
      </tp>
      <tp>
        <v>146.38999999999999</v>
        <stp/>
        <stp>OPEN</stp>
        <stp>ACN</stp>
        <tr r="K11" s="1"/>
      </tp>
      <tp>
        <v>0</v>
        <stp/>
        <stp>OPEN</stp>
        <stp>ACE</stp>
        <tr r="K10" s="1"/>
      </tp>
      <tp>
        <v>0</v>
        <stp/>
        <stp>OPEN</stp>
        <stp>ACT</stp>
        <tr r="K12" s="1"/>
      </tp>
      <tp>
        <v>73.510000000000005</v>
        <stp/>
        <stp>52HIGH</stp>
        <stp>OXY</stp>
        <tr r="N349" s="1"/>
      </tp>
      <tp>
        <v>93.31</v>
        <stp/>
        <stp>OPEN</stp>
        <stp>AXP</stp>
        <tr r="K51" s="1"/>
      </tp>
      <tp>
        <v>622.28</v>
        <stp/>
        <stp>OPEN</stp>
        <stp>AZO</stp>
        <tr r="K52" s="1"/>
      </tp>
      <tp>
        <v>66.650000000000006</v>
        <stp/>
        <stp>HIGH</stp>
        <stp>XYL</stp>
        <tr r="L499" s="1"/>
      </tp>
      <tp>
        <v>56.96</v>
        <stp/>
        <stp>ASK</stp>
        <stp>SBUX</stp>
        <tr r="G404" s="1"/>
      </tp>
      <tp>
        <v>21.6</v>
        <stp/>
        <stp>OPEN</stp>
        <stp>ATI</stp>
        <tr r="K47" s="1"/>
      </tp>
      <tp>
        <v>186.09</v>
        <stp/>
        <stp>OPEN</stp>
        <stp>AVB</stp>
        <tr r="K48" s="1"/>
      </tp>
      <tp>
        <v>107.87</v>
        <stp/>
        <stp>OPEN</stp>
        <stp>AVY</stp>
        <tr r="K50" s="1"/>
      </tp>
      <tp>
        <v>1.89</v>
        <stp/>
        <stp>OPEN</stp>
        <stp>AVP</stp>
        <tr r="K49" s="1"/>
      </tp>
      <tp>
        <v>89.11</v>
        <stp/>
        <stp>OPEN</stp>
        <stp>APH</stp>
        <tr r="K44" s="1"/>
      </tp>
      <tp>
        <v>160.83000000000001</v>
        <stp/>
        <stp>OPEN</stp>
        <stp>APD</stp>
        <tr r="K43" s="1"/>
      </tp>
      <tp>
        <v>40.85</v>
        <stp/>
        <stp>OPEN</stp>
        <stp>APA</stp>
        <tr r="K41" s="1"/>
      </tp>
      <tp>
        <v>47.89</v>
        <stp/>
        <stp>OPEN</stp>
        <stp>APC</stp>
        <tr r="K42" s="1"/>
      </tp>
      <tp>
        <v>28.465</v>
        <stp/>
        <stp>HIGH</stp>
        <stp>XRX</stp>
        <tr r="L498" s="1"/>
      </tp>
      <tp>
        <v>122</v>
        <stp/>
        <stp>BID</stp>
        <stp>EXPE</stp>
        <tr r="F175" s="1"/>
      </tp>
      <tp>
        <v>57.5</v>
        <stp/>
        <stp>BID</stp>
        <stp>EXPD</stp>
        <tr r="F174" s="1"/>
      </tp>
      <tp>
        <v>0</v>
        <stp/>
        <stp>OPEN</stp>
        <stp>ARG</stp>
        <tr r="K46" s="1"/>
      </tp>
      <tp t="s">
        <v>N/A</v>
        <stp/>
        <stp>VOLUME</stp>
        <stp>SAI</stp>
        <tr r="J403" s="1"/>
      </tp>
      <tp>
        <v>3149576</v>
        <stp/>
        <stp>VOLUME</stp>
        <stp>SCG</stp>
        <tr r="J405" s="1"/>
      </tp>
      <tp t="s">
        <v>Range Bound</v>
        <stp/>
        <stp>STRENGTH_METER</stp>
        <stp>WYN</stp>
        <tr r="C490" s="1"/>
      </tp>
      <tp>
        <v>1469198</v>
        <stp/>
        <stp>VOLUME</stp>
        <stp>SEE</stp>
        <tr r="J408" s="1"/>
      </tp>
      <tp>
        <v>309172</v>
        <stp/>
        <stp>VOLUME</stp>
        <stp>SHW</stp>
        <tr r="J409" s="1"/>
      </tp>
      <tp>
        <v>1415807</v>
        <stp/>
        <stp>VOLUME</stp>
        <stp>SJM</stp>
        <tr r="J411" s="1"/>
      </tp>
      <tp t="s">
        <v>Uptrend</v>
        <stp/>
        <stp>STRENGTH_METER</stp>
        <stp>WPX</stp>
        <tr r="C487" s="1"/>
      </tp>
      <tp>
        <v>1723700</v>
        <stp/>
        <stp>VOLUME</stp>
        <stp>SLM</stp>
        <tr r="J413" s="1"/>
      </tp>
      <tp t="s">
        <v>N/A</v>
        <stp/>
        <stp>STRENGTH_METER</stp>
        <stp>WPO</stp>
        <tr r="C486" s="1"/>
      </tp>
      <tp>
        <v>7583297</v>
        <stp/>
        <stp>VOLUME</stp>
        <stp>SLB</stp>
        <tr r="J412" s="1"/>
      </tp>
      <tp>
        <v>1377616</v>
        <stp/>
        <stp>VOLUME</stp>
        <stp>SNI</stp>
        <tr r="J416" s="1"/>
      </tp>
      <tp>
        <v>331816</v>
        <stp/>
        <stp>VOLUME</stp>
        <stp>SNA</stp>
        <tr r="J414" s="1"/>
      </tp>
      <tp t="s">
        <v>N/A</v>
        <stp/>
        <stp>STRENGTH_METER</stp>
        <stp>WLP</stp>
        <tr r="C482" s="1"/>
      </tp>
      <tp>
        <v>2158624</v>
        <stp/>
        <stp>VOLUME</stp>
        <stp>SPG</stp>
        <tr r="J418" s="1"/>
      </tp>
      <tp t="s">
        <v>Uptrend</v>
        <stp/>
        <stp>STRENGTH_METER</stp>
        <stp>WMT</stp>
        <tr r="C485" s="1"/>
      </tp>
      <tp t="s">
        <v>Range Bound</v>
        <stp/>
        <stp>STRENGTH_METER</stp>
        <stp>WMB</stp>
        <tr r="C484" s="1"/>
      </tp>
      <tp>
        <v>1695303</v>
        <stp/>
        <stp>VOLUME</stp>
        <stp>SRE</stp>
        <tr r="J421" s="1"/>
      </tp>
      <tp>
        <v>3141519</v>
        <stp/>
        <stp>VOLUME</stp>
        <stp>STX</stp>
        <tr r="J425" s="1"/>
      </tp>
      <tp>
        <v>848218</v>
        <stp/>
        <stp>VOLUME</stp>
        <stp>STZ</stp>
        <tr r="J426" s="1"/>
      </tp>
      <tp>
        <v>1899423</v>
        <stp/>
        <stp>VOLUME</stp>
        <stp>STT</stp>
        <tr r="J424" s="1"/>
      </tp>
      <tp t="s">
        <v>Range Bound</v>
        <stp/>
        <stp>STRENGTH_METER</stp>
        <stp>WHR</stp>
        <tr r="C480" s="1"/>
      </tp>
      <tp>
        <v>2470367</v>
        <stp/>
        <stp>VOLUME</stp>
        <stp>STI</stp>
        <tr r="J422" s="1"/>
      </tp>
      <tp>
        <v>0</v>
        <stp/>
        <stp>VOLUME</stp>
        <stp>STJ</stp>
        <tr r="J423" s="1"/>
      </tp>
      <tp t="s">
        <v>Uptrend</v>
        <stp/>
        <stp>STRENGTH_METER</stp>
        <stp>WIN</stp>
        <tr r="C481" s="1"/>
      </tp>
      <tp>
        <v>0</v>
        <stp/>
        <stp>VOLUME</stp>
        <stp>SWY</stp>
        <tr r="J429" s="1"/>
      </tp>
      <tp>
        <v>11602787</v>
        <stp/>
        <stp>VOLUME</stp>
        <stp>SWN</stp>
        <tr r="J428" s="1"/>
      </tp>
      <tp>
        <v>824754</v>
        <stp/>
        <stp>VOLUME</stp>
        <stp>SWK</stp>
        <tr r="J427" s="1"/>
      </tp>
      <tp t="s">
        <v>Range Bound</v>
        <stp/>
        <stp>STRENGTH_METER</stp>
        <stp>WDC</stp>
        <tr r="C476" s="1"/>
      </tp>
      <tp>
        <v>2739586</v>
        <stp/>
        <stp>VOLUME</stp>
        <stp>SYY</stp>
        <tr r="J432" s="1"/>
      </tp>
      <tp>
        <v>913790</v>
        <stp/>
        <stp>VOLUME</stp>
        <stp>SYK</stp>
        <tr r="J430" s="1"/>
      </tp>
      <tp t="s">
        <v>Range Bound</v>
        <stp/>
        <stp>STRENGTH_METER</stp>
        <stp>WEC</stp>
        <tr r="C477" s="1"/>
      </tp>
      <tp t="s">
        <v>N/A</v>
        <stp/>
        <stp>STRENGTH_METER</stp>
        <stp>WFM</stp>
        <tr r="C479" s="1"/>
      </tp>
      <tp t="s">
        <v>Range Bound</v>
        <stp/>
        <stp>STRENGTH_METER</stp>
        <stp>WFC</stp>
        <tr r="C478" s="1"/>
      </tp>
      <tp t="s">
        <v>Range Bound</v>
        <stp/>
        <stp>STRENGTH_METER</stp>
        <stp>WAT</stp>
        <tr r="C475" s="1"/>
      </tp>
      <tp t="s">
        <v>N/A</v>
        <stp/>
        <stp>STRENGTH_METER</stp>
        <stp>WAG</stp>
        <tr r="C474" s="1"/>
      </tp>
      <tp>
        <v>36.28</v>
        <stp/>
        <stp>LOW</stp>
        <stp>WY</stp>
        <tr r="M489" s="1"/>
      </tp>
      <tp>
        <v>19.53</v>
        <stp/>
        <stp>LOW</stp>
        <stp>WU</stp>
        <tr r="M488" s="1"/>
      </tp>
      <tp>
        <v>80.540000000000006</v>
        <stp/>
        <stp>LOW</stp>
        <stp>WM</stp>
        <tr r="M483" s="1"/>
      </tp>
      <tp>
        <v>150.94</v>
        <stp/>
        <stp>LOW</stp>
        <stp>PXD</stp>
        <tr r="M385" s="1"/>
      </tp>
      <tp t="s">
        <v>instrument=MSI</v>
        <stp/>
        <stp>QUOTE_TREND</stp>
        <stp>MSI</stp>
        <tr r="D316" s="1"/>
      </tp>
      <tp>
        <v>44.62</v>
        <stp/>
        <stp>LOW</stp>
        <stp>VZ</stp>
        <tr r="M473" s="1"/>
      </tp>
      <tp>
        <v>36.799999999999997</v>
        <stp/>
        <stp>BID</stp>
        <stp>XL</stp>
        <tr r="F494" s="1"/>
      </tp>
      <tp t="s">
        <v>instrument=MRO</v>
        <stp/>
        <stp>QUOTE_TREND</stp>
        <stp>MRO</stp>
        <tr r="D313" s="1"/>
      </tp>
      <tp t="s">
        <v>instrument=MRK</v>
        <stp/>
        <stp>QUOTE_TREND</stp>
        <stp>MRK</stp>
        <tr r="D312" s="1"/>
      </tp>
      <tp>
        <v>49.87</v>
        <stp/>
        <stp>ASK</stp>
        <stp>XL</stp>
        <tr r="G494" s="1"/>
      </tp>
      <tp>
        <v>0</v>
        <stp/>
        <stp>LOW</stp>
        <stp>TE</stp>
        <tr r="M436" s="1"/>
      </tp>
      <tp t="s">
        <v>instrument=MPC</v>
        <stp/>
        <stp>QUOTE_TREND</stp>
        <stp>MPC</stp>
        <tr r="D311" s="1"/>
      </tp>
      <tp>
        <v>50.95</v>
        <stp/>
        <stp>LOW</stp>
        <stp>SO</stp>
        <tr r="M417" s="1"/>
      </tp>
      <tp>
        <v>15</v>
        <stp/>
        <stp>LOW</stp>
        <stp>SE</stp>
        <tr r="M407" s="1"/>
      </tp>
      <tp t="s">
        <v>instrument=MWV</v>
        <stp/>
        <stp>QUOTE_TREND</stp>
        <stp>MWV</stp>
        <tr r="D320" s="1"/>
      </tp>
      <tp>
        <v>88.5</v>
        <stp/>
        <stp>LOW</stp>
        <stp>RL</stp>
        <tr r="M395" s="1"/>
      </tp>
      <tp>
        <v>15.54</v>
        <stp/>
        <stp>LOW</stp>
        <stp>RF</stp>
        <tr r="M392" s="1"/>
      </tp>
      <tp t="s">
        <v>instrument=MUR</v>
        <stp/>
        <stp>QUOTE_TREND</stp>
        <stp>MUR</stp>
        <tr r="D319" s="1"/>
      </tp>
      <tp>
        <v>149.04</v>
        <stp/>
        <stp>LOW</stp>
        <stp>PX</stp>
        <tr r="M384" s="1"/>
      </tp>
      <tp>
        <v>180.56</v>
        <stp/>
        <stp>LOW</stp>
        <stp>PH</stp>
        <tr r="M366" s="1"/>
      </tp>
      <tp>
        <v>102.01</v>
        <stp/>
        <stp>LOW</stp>
        <stp>PM</stp>
        <tr r="M371" s="1"/>
      </tp>
      <tp>
        <v>88.08</v>
        <stp/>
        <stp>LOW</stp>
        <stp>PG</stp>
        <tr r="M364" s="1"/>
      </tp>
      <tp t="s">
        <v>instrument=MTB</v>
        <stp/>
        <stp>QUOTE_TREND</stp>
        <stp>MTB</stp>
        <tr r="D317" s="1"/>
      </tp>
      <tp>
        <v>15.81</v>
        <stp/>
        <stp>ASK</stp>
        <stp>RF</stp>
        <tr r="G392" s="1"/>
      </tp>
      <tp>
        <v>89.19</v>
        <stp/>
        <stp>ASK</stp>
        <stp>RL</stp>
        <tr r="G395" s="1"/>
      </tp>
      <tp>
        <v>36.06</v>
        <stp/>
        <stp>LOW</stp>
        <stp>PPL</stp>
        <tr r="M377" s="1"/>
      </tp>
      <tp>
        <v>113.57</v>
        <stp/>
        <stp>LOW</stp>
        <stp>PPG</stp>
        <tr r="M376" s="1"/>
      </tp>
      <tp>
        <v>15.38</v>
        <stp/>
        <stp>ASK</stp>
        <stp>SE</stp>
        <tr r="G407" s="1"/>
      </tp>
      <tp>
        <v>140.65</v>
        <stp/>
        <stp>BID</stp>
        <stp>PX</stp>
        <tr r="F384" s="1"/>
      </tp>
      <tp>
        <v>51.03</v>
        <stp/>
        <stp>ASK</stp>
        <stp>SO</stp>
        <tr r="G417" s="1"/>
      </tp>
      <tp>
        <v>101.51</v>
        <stp/>
        <stp>BID</stp>
        <stp>PM</stp>
        <tr r="F371" s="1"/>
      </tp>
      <tp>
        <v>174.37</v>
        <stp/>
        <stp>BID</stp>
        <stp>PH</stp>
        <tr r="F366" s="1"/>
      </tp>
      <tp>
        <v>88.43</v>
        <stp/>
        <stp>BID</stp>
        <stp>PG</stp>
        <tr r="F364" s="1"/>
      </tp>
      <tp>
        <v>88.53</v>
        <stp/>
        <stp>ASK</stp>
        <stp>PG</stp>
        <tr r="G364" s="1"/>
      </tp>
      <tp>
        <v>102.74</v>
        <stp/>
        <stp>ASK</stp>
        <stp>PM</stp>
        <tr r="G371" s="1"/>
      </tp>
      <tp>
        <v>183.44</v>
        <stp/>
        <stp>ASK</stp>
        <stp>PH</stp>
        <tr r="G366" s="1"/>
      </tp>
      <tp>
        <v>50.91</v>
        <stp/>
        <stp>BID</stp>
        <stp>SO</stp>
        <tr r="F417" s="1"/>
      </tp>
      <tp>
        <v>14.65</v>
        <stp/>
        <stp>BID</stp>
        <stp>SE</stp>
        <tr r="F407" s="1"/>
      </tp>
      <tp>
        <v>150.63999999999999</v>
        <stp/>
        <stp>ASK</stp>
        <stp>PX</stp>
        <tr r="G384" s="1"/>
      </tp>
      <tp>
        <v>109.61</v>
        <stp/>
        <stp>LOW</stp>
        <stp>PRU</stp>
        <tr r="M379" s="1"/>
      </tp>
      <tp t="s">
        <v>instrument=MYL</v>
        <stp/>
        <stp>QUOTE_TREND</stp>
        <stp>MYL</stp>
        <tr r="D321" s="1"/>
      </tp>
      <tp>
        <v>78</v>
        <stp/>
        <stp>BID</stp>
        <stp>RL</stp>
        <tr r="F395" s="1"/>
      </tp>
      <tp>
        <v>15.75</v>
        <stp/>
        <stp>BID</stp>
        <stp>RF</stp>
        <tr r="F392" s="1"/>
      </tp>
      <tp>
        <v>91.97</v>
        <stp/>
        <stp>LOW</stp>
        <stp>PSX</stp>
        <tr r="M381" s="1"/>
      </tp>
      <tp>
        <v>211.66</v>
        <stp/>
        <stp>LOW</stp>
        <stp>PSA</stp>
        <tr r="M380" s="1"/>
      </tp>
      <tp>
        <v>45.4</v>
        <stp/>
        <stp>ASK</stp>
        <stp>VZ</stp>
        <tr r="G473" s="1"/>
      </tp>
      <tp>
        <v>82.07</v>
        <stp/>
        <stp>ASK</stp>
        <stp>WM</stp>
        <tr r="G483" s="1"/>
      </tp>
      <tp>
        <v>19.71</v>
        <stp/>
        <stp>ASK</stp>
        <stp>WU</stp>
        <tr r="G488" s="1"/>
      </tp>
      <tp>
        <v>27.64</v>
        <stp/>
        <stp>BID</stp>
        <stp>TE</stp>
        <tr r="F436" s="1"/>
      </tp>
      <tp>
        <v>36.340000000000003</v>
        <stp/>
        <stp>ASK</stp>
        <stp>WY</stp>
        <tr r="G489" s="1"/>
      </tp>
      <tp>
        <v>27.68</v>
        <stp/>
        <stp>ASK</stp>
        <stp>TE</stp>
        <tr r="G436" s="1"/>
      </tp>
      <tp>
        <v>36.24</v>
        <stp/>
        <stp>BID</stp>
        <stp>WY</stp>
        <tr r="F489" s="1"/>
      </tp>
      <tp>
        <v>19.649999999999999</v>
        <stp/>
        <stp>BID</stp>
        <stp>WU</stp>
        <tr r="F488" s="1"/>
      </tp>
      <tp>
        <v>80.12</v>
        <stp/>
        <stp>BID</stp>
        <stp>WM</stp>
        <tr r="F483" s="1"/>
      </tp>
      <tp>
        <v>130.41</v>
        <stp/>
        <stp>LOW</stp>
        <stp>PVH</stp>
        <tr r="M382" s="1"/>
      </tp>
      <tp>
        <v>45.35</v>
        <stp/>
        <stp>BID</stp>
        <stp>VZ</stp>
        <tr r="F473" s="1"/>
      </tp>
      <tp>
        <v>38.26</v>
        <stp/>
        <stp>LOW</stp>
        <stp>XL</stp>
        <tr r="M494" s="1"/>
      </tp>
      <tp>
        <v>35.81</v>
        <stp/>
        <stp>LOW</stp>
        <stp>PWR</stp>
        <tr r="M383" s="1"/>
      </tp>
      <tp>
        <v>237.12</v>
        <stp/>
        <stp>LOW</stp>
        <stp>GS</stp>
        <tr r="M209" s="1"/>
      </tp>
      <tp>
        <v>82.11</v>
        <stp/>
        <stp>BID</stp>
        <stp>IR</stp>
        <tr r="F243" s="1"/>
      </tp>
      <tp>
        <v>29.45</v>
        <stp/>
        <stp>LOW</stp>
        <stp>GT</stp>
        <tr r="M210" s="1"/>
      </tp>
      <tp>
        <v>52.52</v>
        <stp/>
        <stp>BID</stp>
        <stp>IP</stp>
        <tr r="F241" s="1"/>
      </tp>
      <tp>
        <v>197.75</v>
        <stp/>
        <stp>LOW</stp>
        <stp>GD</stp>
        <tr r="M198" s="1"/>
      </tp>
      <tp>
        <v>18.21</v>
        <stp/>
        <stp>LOW</stp>
        <stp>GE</stp>
        <tr r="M199" s="1"/>
      </tp>
      <tp t="s">
        <v>instrument=MCD</v>
        <stp/>
        <stp>QUOTE_TREND</stp>
        <stp>MCD</stp>
        <tr r="D294" s="1"/>
      </tp>
      <tp>
        <v>31.75</v>
        <stp/>
        <stp>LOW</stp>
        <stp>PHM</stp>
        <tr r="M367" s="1"/>
      </tp>
      <tp t="s">
        <v>instrument=MCO</v>
        <stp/>
        <stp>QUOTE_TREND</stp>
        <stp>MCO</stp>
        <tr r="D297" s="1"/>
      </tp>
      <tp t="s">
        <v>instrument=MCK</v>
        <stp/>
        <stp>QUOTE_TREND</stp>
        <stp>MCK</stp>
        <tr r="D296" s="1"/>
      </tp>
      <tp>
        <v>45.76</v>
        <stp/>
        <stp>ASK</stp>
        <stp>KO</stp>
        <tr r="G265" s="1"/>
      </tp>
      <tp>
        <v>52.61</v>
        <stp/>
        <stp>BID</stp>
        <stp>HP</stp>
        <tr r="F226" s="1"/>
      </tp>
      <tp>
        <v>23.43</v>
        <stp/>
        <stp>ASK</stp>
        <stp>KR</stp>
        <tr r="G266" s="1"/>
      </tp>
      <tp>
        <v>167.16</v>
        <stp/>
        <stp>BID</stp>
        <stp>HD</stp>
        <tr r="F219" s="1"/>
      </tp>
      <tp>
        <v>34.5</v>
        <stp/>
        <stp>LOW</stp>
        <stp>FE</stp>
        <tr r="M181" s="1"/>
      </tp>
      <tp>
        <v>167.66</v>
        <stp/>
        <stp>ASK</stp>
        <stp>HD</stp>
        <tr r="G219" s="1"/>
      </tp>
      <tp>
        <v>23.36</v>
        <stp/>
        <stp>BID</stp>
        <stp>KR</stp>
        <tr r="F266" s="1"/>
      </tp>
      <tp>
        <v>106.07</v>
        <stp/>
        <stp>LOW</stp>
        <stp>EW</stp>
        <tr r="M172" s="1"/>
      </tp>
      <tp>
        <v>45.7</v>
        <stp/>
        <stp>BID</stp>
        <stp>KO</stp>
        <tr r="F265" s="1"/>
      </tp>
      <tp>
        <v>55.68</v>
        <stp/>
        <stp>ASK</stp>
        <stp>HP</stp>
        <tr r="G226" s="1"/>
      </tp>
      <tp>
        <v>124.69</v>
        <stp/>
        <stp>LOW</stp>
        <stp>EL</stp>
        <tr r="M160" s="1"/>
      </tp>
      <tp>
        <v>107.5</v>
        <stp/>
        <stp>LOW</stp>
        <stp>EA</stp>
        <tr r="M154" s="1"/>
      </tp>
      <tp>
        <v>86.22</v>
        <stp/>
        <stp>LOW</stp>
        <stp>ED</stp>
        <tr r="M157" s="1"/>
      </tp>
      <tp t="s">
        <v>instrument=MAT</v>
        <stp/>
        <stp>QUOTE_TREND</stp>
        <stp>MAT</stp>
        <tr r="D293" s="1"/>
      </tp>
      <tp t="s">
        <v>instrument=MAR</v>
        <stp/>
        <stp>QUOTE_TREND</stp>
        <stp>MAR</stp>
        <tr r="D291" s="1"/>
      </tp>
      <tp t="s">
        <v>instrument=MAS</v>
        <stp/>
        <stp>QUOTE_TREND</stp>
        <stp>MAS</stp>
        <tr r="D292" s="1"/>
      </tp>
      <tp t="s">
        <v>instrument=MAC</v>
        <stp/>
        <stp>QUOTE_TREND</stp>
        <stp>MAC</stp>
        <tr r="D290" s="1"/>
      </tp>
      <tp>
        <v>54.27</v>
        <stp/>
        <stp>ASK</stp>
        <stp>IP</stp>
        <tr r="G241" s="1"/>
      </tp>
      <tp>
        <v>85.88</v>
        <stp/>
        <stp>ASK</stp>
        <stp>IR</stp>
        <tr r="G243" s="1"/>
      </tp>
      <tp>
        <v>15.63</v>
        <stp/>
        <stp>LOW</stp>
        <stp>DO</stp>
        <tr r="M144" s="1"/>
      </tp>
      <tp>
        <v>0</v>
        <stp/>
        <stp>LOW</stp>
        <stp>DD</stp>
        <tr r="M129" s="1"/>
      </tp>
      <tp>
        <v>133.76</v>
        <stp/>
        <stp>LOW</stp>
        <stp>DE</stp>
        <tr r="M130" s="1"/>
      </tp>
      <tp>
        <v>9.75</v>
        <stp/>
        <stp>LOW</stp>
        <stp>DF</stp>
        <tr r="M132" s="1"/>
      </tp>
      <tp>
        <v>84.465000000000003</v>
        <stp/>
        <stp>LOW</stp>
        <stp>DG</stp>
        <tr r="M134" s="1"/>
      </tp>
      <tp>
        <v>71.680000000000007</v>
        <stp/>
        <stp>LOW</stp>
        <stp>PKI</stp>
        <tr r="M368" s="1"/>
      </tp>
      <tp>
        <v>4.1900000000000004</v>
        <stp/>
        <stp>ASK</stp>
        <stp>NE</stp>
        <tr r="G325" s="1"/>
      </tp>
      <tp>
        <v>46.1</v>
        <stp/>
        <stp>BID</stp>
        <stp>MU</stp>
        <tr r="F318" s="1"/>
      </tp>
      <tp>
        <v>27.25</v>
        <stp/>
        <stp>ASK</stp>
        <stp>NI</stp>
        <tr r="G330" s="1"/>
      </tp>
      <tp>
        <v>48.55</v>
        <stp/>
        <stp>BID</stp>
        <stp>MS</stp>
        <tr r="F314" s="1"/>
      </tp>
      <tp>
        <v>114.45</v>
        <stp/>
        <stp>ASK</stp>
        <stp>NU</stp>
        <tr r="G338" s="1"/>
      </tp>
      <tp>
        <v>66.400000000000006</v>
        <stp/>
        <stp>BID</stp>
        <stp>MO</stp>
        <tr r="F307" s="1"/>
      </tp>
      <tp>
        <v>197.77</v>
        <stp/>
        <stp>LOW</stp>
        <stp>CI</stp>
        <tr r="M96" s="1"/>
      </tp>
      <tp>
        <v>71.78</v>
        <stp/>
        <stp>LOW</stp>
        <stp>CL</stp>
        <tr r="M98" s="1"/>
      </tp>
      <tp>
        <v>32.26</v>
        <stp/>
        <stp>LOW</stp>
        <stp>CA</stp>
        <tr r="M79" s="1"/>
      </tp>
      <tp>
        <v>147.97999999999999</v>
        <stp/>
        <stp>LOW</stp>
        <stp>CB</stp>
        <tr r="M84" s="1"/>
      </tp>
      <tp>
        <v>35.25</v>
        <stp/>
        <stp>LOW</stp>
        <stp>CF</stp>
        <tr r="M92" s="1"/>
      </tp>
      <tp>
        <v>148.1</v>
        <stp/>
        <stp>BID</stp>
        <stp>MA</stp>
        <tr r="F289" s="1"/>
      </tp>
      <tp>
        <v>0</v>
        <stp/>
        <stp>LOW</stp>
        <stp>PLL</stp>
        <tr r="M370" s="1"/>
      </tp>
      <tp>
        <v>66.19</v>
        <stp/>
        <stp>LOW</stp>
        <stp>PLD</stp>
        <tr r="M369" s="1"/>
      </tp>
      <tp>
        <v>25.5</v>
        <stp/>
        <stp>ASK</stp>
        <stp>OI</stp>
        <tr r="G344" s="1"/>
      </tp>
      <tp>
        <v>110.33</v>
        <stp/>
        <stp>BID</stp>
        <stp>LO</stp>
        <tr r="F280" s="1"/>
      </tp>
      <tp>
        <v>36.6</v>
        <stp/>
        <stp>BID</stp>
        <stp>LM</stp>
        <tr r="F277" s="1"/>
      </tp>
      <tp>
        <v>51.92</v>
        <stp/>
        <stp>LOW</stp>
        <stp>BK</stp>
        <tr r="M66" s="1"/>
      </tp>
      <tp>
        <v>146.75</v>
        <stp/>
        <stp>BID</stp>
        <stp>LH</stp>
        <tr r="F272" s="1"/>
      </tp>
      <tp>
        <v>262.02999999999997</v>
        <stp/>
        <stp>LOW</stp>
        <stp>BA</stp>
        <tr r="M53" s="1"/>
      </tp>
      <tp>
        <v>40.79</v>
        <stp/>
        <stp>ASK</stp>
        <stp>LM</stp>
        <tr r="G277" s="1"/>
      </tp>
      <tp>
        <v>146.41999999999999</v>
        <stp/>
        <stp>ASK</stp>
        <stp>LO</stp>
        <tr r="G280" s="1"/>
      </tp>
      <tp>
        <v>151.99</v>
        <stp/>
        <stp>ASK</stp>
        <stp>LH</stp>
        <tr r="G272" s="1"/>
      </tp>
      <tp>
        <v>51.68</v>
        <stp/>
        <stp>LOW</stp>
        <stp>AN</stp>
        <tr r="M38" s="1"/>
      </tp>
      <tp>
        <v>23.11</v>
        <stp/>
        <stp>BID</stp>
        <stp>OI</stp>
        <tr r="F344" s="1"/>
      </tp>
      <tp>
        <v>42</v>
        <stp/>
        <stp>LOW</stp>
        <stp>AA</stp>
        <tr r="M5" s="1"/>
      </tp>
      <tp t="s">
        <v>instrument=MET</v>
        <stp/>
        <stp>QUOTE_TREND</stp>
        <stp>MET</stp>
        <tr r="D300" s="1"/>
      </tp>
      <tp>
        <v>89.84</v>
        <stp/>
        <stp>LOW</stp>
        <stp>PNW</stp>
        <tr r="M374" s="1"/>
      </tp>
      <tp>
        <v>67.510000000000005</v>
        <stp/>
        <stp>LOW</stp>
        <stp>PNR</stp>
        <tr r="M373" s="1"/>
      </tp>
      <tp>
        <v>131.38999999999999</v>
        <stp/>
        <stp>LOW</stp>
        <stp>PNC</stp>
        <tr r="M372" s="1"/>
      </tp>
      <tp>
        <v>149.02000000000001</v>
        <stp/>
        <stp>ASK</stp>
        <stp>MA</stp>
        <tr r="G289" s="1"/>
      </tp>
      <tp>
        <v>66.45</v>
        <stp/>
        <stp>ASK</stp>
        <stp>MO</stp>
        <tr r="G307" s="1"/>
      </tp>
      <tp>
        <v>123.72</v>
        <stp/>
        <stp>BID</stp>
        <stp>NU</stp>
        <tr r="F338" s="1"/>
      </tp>
      <tp>
        <v>46.12</v>
        <stp/>
        <stp>ASK</stp>
        <stp>MU</stp>
        <tr r="G318" s="1"/>
      </tp>
      <tp>
        <v>48.76</v>
        <stp/>
        <stp>ASK</stp>
        <stp>MS</stp>
        <tr r="G314" s="1"/>
      </tp>
      <tp>
        <v>25.5</v>
        <stp/>
        <stp>BID</stp>
        <stp>NI</stp>
        <tr r="F330" s="1"/>
      </tp>
      <tp>
        <v>4.1500000000000004</v>
        <stp/>
        <stp>BID</stp>
        <stp>NE</stp>
        <tr r="F325" s="1"/>
      </tp>
      <tp t="s">
        <v>instrument=MDT</v>
        <stp/>
        <stp>QUOTE_TREND</stp>
        <stp>MDT</stp>
        <tr r="D299" s="1"/>
      </tp>
      <tp>
        <v>0</v>
        <stp/>
        <stp>LOW</stp>
        <stp>POM</stp>
        <tr r="M375" s="1"/>
      </tp>
      <tp>
        <v>263</v>
        <stp/>
        <stp>ASK</stp>
        <stp>BA</stp>
        <tr r="G53" s="1"/>
      </tp>
      <tp>
        <v>52.5</v>
        <stp/>
        <stp>ASK</stp>
        <stp>BK</stp>
        <tr r="G66" s="1"/>
      </tp>
      <tp>
        <v>48.73</v>
        <stp/>
        <stp>BID</stp>
        <stp>AN</stp>
        <tr r="F38" s="1"/>
      </tp>
      <tp>
        <v>23.04</v>
        <stp/>
        <stp>LOW</stp>
        <stp>OI</stp>
        <tr r="M344" s="1"/>
      </tp>
      <tp>
        <v>43.25</v>
        <stp/>
        <stp>BID</stp>
        <stp>AA</stp>
        <tr r="F5" s="1"/>
      </tp>
      <tp t="s">
        <v>instrument=MKC</v>
        <stp/>
        <stp>QUOTE_TREND</stp>
        <stp>MKC</stp>
        <tr r="D303" s="1"/>
      </tp>
      <tp>
        <v>36.159999999999997</v>
        <stp/>
        <stp>ASK</stp>
        <stp>CF</stp>
        <tr r="G92" s="1"/>
      </tp>
      <tp>
        <v>32.57</v>
        <stp/>
        <stp>ASK</stp>
        <stp>CA</stp>
        <tr r="G79" s="1"/>
      </tp>
      <tp>
        <v>149.55000000000001</v>
        <stp/>
        <stp>ASK</stp>
        <stp>CB</stp>
        <tr r="G84" s="1"/>
      </tp>
      <tp>
        <v>72.03</v>
        <stp/>
        <stp>ASK</stp>
        <stp>CL</stp>
        <tr r="G98" s="1"/>
      </tp>
      <tp>
        <v>198</v>
        <stp/>
        <stp>ASK</stp>
        <stp>CI</stp>
        <tr r="G96" s="1"/>
      </tp>
      <tp>
        <v>0</v>
        <stp/>
        <stp>LOW</stp>
        <stp>NU</stp>
        <tr r="M338" s="1"/>
      </tp>
      <tp>
        <v>27.02</v>
        <stp/>
        <stp>LOW</stp>
        <stp>NI</stp>
        <tr r="M330" s="1"/>
      </tp>
      <tp>
        <v>4.1100000000000003</v>
        <stp/>
        <stp>LOW</stp>
        <stp>NE</stp>
        <tr r="M325" s="1"/>
      </tp>
      <tp t="s">
        <v>instrument=MJN</v>
        <stp/>
        <stp>QUOTE_TREND</stp>
        <stp>MJN</stp>
        <tr r="D302" s="1"/>
      </tp>
      <tp>
        <v>48.16</v>
        <stp/>
        <stp>LOW</stp>
        <stp>MS</stp>
        <tr r="M314" s="1"/>
      </tp>
      <tp>
        <v>45.73</v>
        <stp/>
        <stp>LOW</stp>
        <stp>MU</stp>
        <tr r="M318" s="1"/>
      </tp>
      <tp>
        <v>71.83</v>
        <stp/>
        <stp>BID</stp>
        <stp>CL</stp>
        <tr r="F98" s="1"/>
      </tp>
      <tp>
        <v>193.5</v>
        <stp/>
        <stp>BID</stp>
        <stp>CI</stp>
        <tr r="F96" s="1"/>
      </tp>
      <tp>
        <v>65.290000000000006</v>
        <stp/>
        <stp>LOW</stp>
        <stp>MO</stp>
        <tr r="M307" s="1"/>
      </tp>
      <tp>
        <v>34.700000000000003</v>
        <stp/>
        <stp>BID</stp>
        <stp>CF</stp>
        <tr r="F92" s="1"/>
      </tp>
      <tp>
        <v>148.28</v>
        <stp/>
        <stp>LOW</stp>
        <stp>MA</stp>
        <tr r="M289" s="1"/>
      </tp>
      <tp>
        <v>129.29</v>
        <stp/>
        <stp>BID</stp>
        <stp>CB</stp>
        <tr r="F84" s="1"/>
      </tp>
      <tp>
        <v>31.4</v>
        <stp/>
        <stp>BID</stp>
        <stp>CA</stp>
        <tr r="F79" s="1"/>
      </tp>
      <tp>
        <v>9.84</v>
        <stp/>
        <stp>LOW</stp>
        <stp>PBI</stp>
        <tr r="M352" s="1"/>
      </tp>
      <tp>
        <v>43.41</v>
        <stp/>
        <stp>ASK</stp>
        <stp>AA</stp>
        <tr r="G5" s="1"/>
      </tp>
      <tp>
        <v>54.4</v>
        <stp/>
        <stp>ASK</stp>
        <stp>AN</stp>
        <tr r="G38" s="1"/>
      </tp>
      <tp>
        <v>149.69</v>
        <stp/>
        <stp>LOW</stp>
        <stp>LH</stp>
        <tr r="M272" s="1"/>
      </tp>
      <tp>
        <v>52.35</v>
        <stp/>
        <stp>BID</stp>
        <stp>BK</stp>
        <tr r="F66" s="1"/>
      </tp>
      <tp>
        <v>37.65</v>
        <stp/>
        <stp>LOW</stp>
        <stp>LM</stp>
        <tr r="M277" s="1"/>
      </tp>
      <tp>
        <v>0</v>
        <stp/>
        <stp>LOW</stp>
        <stp>LO</stp>
        <tr r="M280" s="1"/>
      </tp>
      <tp>
        <v>262.35000000000002</v>
        <stp/>
        <stp>BID</stp>
        <stp>BA</stp>
        <tr r="F53" s="1"/>
      </tp>
      <tp t="s">
        <v>instrument=MHP</v>
        <stp/>
        <stp>QUOTE_TREND</stp>
        <stp>MHP</stp>
        <tr r="D301" s="1"/>
      </tp>
      <tp>
        <v>0</v>
        <stp/>
        <stp>LOW</stp>
        <stp>PCP</stp>
        <tr r="M357" s="1"/>
      </tp>
      <tp>
        <v>0</v>
        <stp/>
        <stp>LOW</stp>
        <stp>PCL</stp>
        <tr r="M355" s="1"/>
      </tp>
      <tp>
        <v>54</v>
        <stp/>
        <stp>LOW</stp>
        <stp>PCG</stp>
        <tr r="M354" s="1"/>
      </tp>
      <tp>
        <v>-0.25</v>
        <stp/>
        <stp>NET_CHANGE</stp>
        <stp>NVDA</stp>
        <tr r="E340" s="1"/>
      </tp>
      <tp>
        <v>34.659999999999997</v>
        <stp/>
        <stp>ASK</stp>
        <stp>FE</stp>
        <tr r="G181" s="1"/>
      </tp>
      <tp>
        <v>103.98</v>
        <stp/>
        <stp>BID</stp>
        <stp>EW</stp>
        <tr r="F172" s="1"/>
      </tp>
      <tp>
        <v>22.27</v>
        <stp/>
        <stp>LOW</stp>
        <stp>KR</stp>
        <tr r="M266" s="1"/>
      </tp>
      <tp>
        <v>122.25</v>
        <stp/>
        <stp>BID</stp>
        <stp>EL</stp>
        <tr r="F160" s="1"/>
      </tp>
      <tp>
        <v>45.25</v>
        <stp/>
        <stp>LOW</stp>
        <stp>KO</stp>
        <tr r="M265" s="1"/>
      </tp>
      <tp>
        <v>86.02</v>
        <stp/>
        <stp>BID</stp>
        <stp>ED</stp>
        <tr r="F157" s="1"/>
      </tp>
      <tp>
        <v>108.75</v>
        <stp/>
        <stp>BID</stp>
        <stp>EA</stp>
        <tr r="F154" s="1"/>
      </tp>
      <tp t="s">
        <v>instrument=MOS</v>
        <stp/>
        <stp>QUOTE_TREND</stp>
        <stp>MOS</stp>
        <tr r="D310" s="1"/>
      </tp>
      <tp t="s">
        <v>instrument=MON</v>
        <stp/>
        <stp>QUOTE_TREND</stp>
        <stp>MON</stp>
        <tr r="D309" s="1"/>
      </tp>
      <tp>
        <v>198.61</v>
        <stp/>
        <stp>ASK</stp>
        <stp>GD</stp>
        <tr r="G198" s="1"/>
      </tp>
      <tp>
        <v>18.239999999999998</v>
        <stp/>
        <stp>ASK</stp>
        <stp>GE</stp>
        <tr r="G199" s="1"/>
      </tp>
      <tp>
        <v>30.4</v>
        <stp/>
        <stp>ASK</stp>
        <stp>GT</stp>
        <tr r="G210" s="1"/>
      </tp>
      <tp>
        <v>15.57</v>
        <stp/>
        <stp>BID</stp>
        <stp>DO</stp>
        <tr r="F144" s="1"/>
      </tp>
      <tp>
        <v>238.27</v>
        <stp/>
        <stp>ASK</stp>
        <stp>GS</stp>
        <tr r="G209" s="1"/>
      </tp>
      <tp>
        <v>9.9499999999999993</v>
        <stp/>
        <stp>BID</stp>
        <stp>DF</stp>
        <tr r="F132" s="1"/>
      </tp>
      <tp>
        <v>85.22</v>
        <stp/>
        <stp>BID</stp>
        <stp>DG</stp>
        <tr r="F134" s="1"/>
      </tp>
      <tp>
        <v>84.33</v>
        <stp/>
        <stp>BID</stp>
        <stp>DD</stp>
        <tr r="F129" s="1"/>
      </tp>
      <tp>
        <v>135.69</v>
        <stp/>
        <stp>BID</stp>
        <stp>DE</stp>
        <tr r="F130" s="1"/>
      </tp>
      <tp>
        <v>114.53</v>
        <stp/>
        <stp>LOW</stp>
        <stp>PEP</stp>
        <tr r="M360" s="1"/>
      </tp>
      <tp>
        <v>51.02</v>
        <stp/>
        <stp>LOW</stp>
        <stp>PEG</stp>
        <tr r="M359" s="1"/>
      </tp>
      <tp>
        <v>84.97</v>
        <stp/>
        <stp>ASK</stp>
        <stp>DD</stp>
        <tr r="G129" s="1"/>
      </tp>
      <tp>
        <v>136.66999999999999</v>
        <stp/>
        <stp>ASK</stp>
        <stp>DE</stp>
        <tr r="G130" s="1"/>
      </tp>
      <tp>
        <v>10.01</v>
        <stp/>
        <stp>ASK</stp>
        <stp>DF</stp>
        <tr r="G132" s="1"/>
      </tp>
      <tp>
        <v>85.52</v>
        <stp/>
        <stp>ASK</stp>
        <stp>DG</stp>
        <tr r="G134" s="1"/>
      </tp>
      <tp>
        <v>53.7</v>
        <stp/>
        <stp>LOW</stp>
        <stp>IP</stp>
        <tr r="M241" s="1"/>
      </tp>
      <tp>
        <v>29.9</v>
        <stp/>
        <stp>BID</stp>
        <stp>GT</stp>
        <tr r="F210" s="1"/>
      </tp>
      <tp>
        <v>84.15</v>
        <stp/>
        <stp>LOW</stp>
        <stp>IR</stp>
        <tr r="M243" s="1"/>
      </tp>
      <tp>
        <v>16.2</v>
        <stp/>
        <stp>ASK</stp>
        <stp>DO</stp>
        <tr r="G144" s="1"/>
      </tp>
      <tp>
        <v>235.17</v>
        <stp/>
        <stp>BID</stp>
        <stp>GS</stp>
        <tr r="F209" s="1"/>
      </tp>
      <tp>
        <v>197</v>
        <stp/>
        <stp>BID</stp>
        <stp>GD</stp>
        <tr r="F198" s="1"/>
      </tp>
      <tp>
        <v>18.23</v>
        <stp/>
        <stp>BID</stp>
        <stp>GE</stp>
        <tr r="F199" s="1"/>
      </tp>
      <tp t="s">
        <v>instrument=MMC</v>
        <stp/>
        <stp>QUOTE_TREND</stp>
        <stp>MMC</stp>
        <tr r="D304" s="1"/>
      </tp>
      <tp>
        <v>67.92</v>
        <stp/>
        <stp>LOW</stp>
        <stp>PFG</stp>
        <tr r="M363" s="1"/>
      </tp>
      <tp>
        <v>35.17</v>
        <stp/>
        <stp>LOW</stp>
        <stp>PFE</stp>
        <tr r="M362" s="1"/>
      </tp>
      <tp t="s">
        <v>instrument=MMM</v>
        <stp/>
        <stp>QUOTE_TREND</stp>
        <stp>MMM</stp>
        <tr r="D305" s="1"/>
      </tp>
      <tp>
        <v>88</v>
        <stp/>
        <stp>ASK</stp>
        <stp>ED</stp>
        <tr r="G157" s="1"/>
      </tp>
      <tp>
        <v>109.2</v>
        <stp/>
        <stp>ASK</stp>
        <stp>EA</stp>
        <tr r="G154" s="1"/>
      </tp>
      <tp>
        <v>125.98</v>
        <stp/>
        <stp>ASK</stp>
        <stp>EL</stp>
        <tr r="G160" s="1"/>
      </tp>
      <tp>
        <v>54.91</v>
        <stp/>
        <stp>LOW</stp>
        <stp>HP</stp>
        <tr r="M226" s="1"/>
      </tp>
      <tp>
        <v>109.9</v>
        <stp/>
        <stp>ASK</stp>
        <stp>EW</stp>
        <tr r="G172" s="1"/>
      </tp>
      <tp>
        <v>34.56</v>
        <stp/>
        <stp>BID</stp>
        <stp>FE</stp>
        <tr r="F181" s="1"/>
      </tp>
      <tp>
        <v>166.06</v>
        <stp/>
        <stp>LOW</stp>
        <stp>HD</stp>
        <tr r="M219" s="1"/>
      </tp>
      <tp>
        <v>51.32</v>
        <stp/>
        <stp>LOW</stp>
        <stp>PGR</stp>
        <tr r="M365" s="1"/>
      </tp>
      <tp>
        <v>27.98</v>
        <stp/>
        <stp>BID</stp>
        <stp>SYMC</stp>
        <tr r="F431" s="1"/>
      </tp>
      <tp>
        <v>12</v>
        <stp/>
        <stp>ASK</stp>
        <stp>HCBK</stp>
        <tr r="G216" s="1"/>
      </tp>
      <tp>
        <v>60.53</v>
        <stp/>
        <stp>52HIGH</stp>
        <stp>NKE</stp>
        <tr r="N331" s="1"/>
      </tp>
      <tp>
        <v>151.91</v>
        <stp/>
        <stp>BID</stp>
        <stp>WYNN</stp>
        <tr r="F491" s="1"/>
      </tp>
      <tp>
        <v>67.16</v>
        <stp/>
        <stp>ASK</stp>
        <stp>PCAR</stp>
        <tr r="G353" s="1"/>
      </tp>
      <tp t="s">
        <v>instrument=NTRS</v>
        <stp/>
        <stp>QUOTE_TREND</stp>
        <stp>NTRS</stp>
        <tr r="D337" s="1"/>
      </tp>
      <tp t="s">
        <v>instrument=CTSH</v>
        <stp/>
        <stp>QUOTE_TREND</stp>
        <stp>CTSH</stp>
        <tr r="D123" s="1"/>
      </tp>
      <tp>
        <v>306.61</v>
        <stp/>
        <stp>52HIGH</stp>
        <stp>NOC</stp>
        <tr r="N332" s="1"/>
      </tp>
      <tp>
        <v>43.63</v>
        <stp/>
        <stp>52HIGH</stp>
        <stp>NOV</stp>
        <tr r="N333" s="1"/>
      </tp>
      <tp>
        <v>92.99</v>
        <stp/>
        <stp>ASK</stp>
        <stp>MCHP</stp>
        <tr r="G295" s="1"/>
      </tp>
      <tp>
        <v>44.71</v>
        <stp/>
        <stp>ASK</stp>
        <stp>SCHW</stp>
        <tr r="G406" s="1"/>
      </tp>
      <tp>
        <v>42.03</v>
        <stp/>
        <stp>52HIGH</stp>
        <stp>NBL</stp>
        <tr r="N322" s="1"/>
      </tp>
      <tp>
        <v>18.399999999999999</v>
        <stp/>
        <stp>52HIGH</stp>
        <stp>NBR</stp>
        <tr r="N323" s="1"/>
      </tp>
      <tp>
        <v>39.625</v>
        <stp/>
        <stp>52HIGH</stp>
        <stp>NEM</stp>
        <tr r="N327" s="1"/>
      </tp>
      <tp>
        <v>159.28</v>
        <stp/>
        <stp>52HIGH</stp>
        <stp>NEE</stp>
        <tr r="N326" s="1"/>
      </tp>
      <tp>
        <v>66.790000000000006</v>
        <stp/>
        <stp>ASK</stp>
        <stp>QCOM</stp>
        <tr r="G386" s="1"/>
      </tp>
      <tp>
        <v>1750</v>
        <stp/>
        <stp>ASK</stp>
        <stp>PCLN</stp>
        <tr r="G356" s="1"/>
      </tp>
      <tp t="s">
        <v>instrument=CTXS</v>
        <stp/>
        <stp>QUOTE_TREND</stp>
        <stp>CTXS</stp>
        <tr r="D124" s="1"/>
      </tp>
      <tp>
        <v>50</v>
        <stp/>
        <stp>52HIGH</stp>
        <stp>NFX</stp>
        <tr r="N329" s="1"/>
      </tp>
      <tp t="s">
        <v>N/A</v>
        <stp/>
        <stp>52HIGH</stp>
        <stp>NYX</stp>
        <tr r="N343" s="1"/>
      </tp>
      <tp t="s">
        <v>instrument=ETFC</v>
        <stp/>
        <stp>QUOTE_TREND</stp>
        <stp>ETFC</stp>
        <tr r="D169" s="1"/>
      </tp>
      <tp t="s">
        <v>instrument=CTAS</v>
        <stp/>
        <stp>QUOTE_TREND</stp>
        <stp>CTAS</stp>
        <tr r="D121" s="1"/>
      </tp>
      <tp t="s">
        <v>instrument=NTAP</v>
        <stp/>
        <stp>QUOTE_TREND</stp>
        <stp>NTAP</stp>
        <tr r="D336" s="1"/>
      </tp>
      <tp>
        <v>44.65</v>
        <stp/>
        <stp>52LOW</stp>
        <stp>AKAM</stp>
        <tr r="O28" s="1"/>
      </tp>
      <tp>
        <v>134.52000000000001</v>
        <stp/>
        <stp>52HIGH</stp>
        <stp>NSC</stp>
        <tr r="N335" s="1"/>
      </tp>
      <tp>
        <v>78.78</v>
        <stp/>
        <stp>HIGH</stp>
        <stp>YUM</stp>
        <tr r="L501" s="1"/>
      </tp>
      <tp>
        <v>29.78</v>
        <stp/>
        <stp>52HIGH</stp>
        <stp>NRG</stp>
        <tr r="N334" s="1"/>
      </tp>
      <tp>
        <v>68</v>
        <stp/>
        <stp>52HIGH</stp>
        <stp>NUE</stp>
        <tr r="N339" s="1"/>
      </tp>
      <tp>
        <v>55.08</v>
        <stp/>
        <stp>52HIGH</stp>
        <stp>NWL</stp>
        <tr r="N341" s="1"/>
      </tp>
      <tp>
        <v>0</v>
        <stp/>
        <stp>VOLUME</stp>
        <stp>RAI</stp>
        <tr r="J389" s="1"/>
      </tp>
      <tp>
        <v>3636432</v>
        <stp/>
        <stp>VOLUME</stp>
        <stp>RDC</stp>
        <tr r="J390" s="1"/>
      </tp>
      <tp>
        <v>1334352</v>
        <stp/>
        <stp>VOLUME</stp>
        <stp>RHT</stp>
        <tr r="J394" s="1"/>
      </tp>
      <tp t="s">
        <v>Range Bound</v>
        <stp/>
        <stp>STRENGTH_METER</stp>
        <stp>VTR</stp>
        <tr r="C472" s="1"/>
      </tp>
      <tp>
        <v>1202489</v>
        <stp/>
        <stp>VOLUME</stp>
        <stp>RHI</stp>
        <tr r="J393" s="1"/>
      </tp>
      <tp>
        <v>343893</v>
        <stp/>
        <stp>VOLUME</stp>
        <stp>ROP</stp>
        <tr r="J397" s="1"/>
      </tp>
      <tp>
        <v>1265031</v>
        <stp/>
        <stp>VOLUME</stp>
        <stp>ROK</stp>
        <tr r="J396" s="1"/>
      </tp>
      <tp t="s">
        <v>Range Bound</v>
        <stp/>
        <stp>STRENGTH_METER</stp>
        <stp>VLO</stp>
        <tr r="C468" s="1"/>
      </tp>
      <tp t="s">
        <v>Range Bound</v>
        <stp/>
        <stp>STRENGTH_METER</stp>
        <stp>VMC</stp>
        <tr r="C469" s="1"/>
      </tp>
      <tp t="s">
        <v>Range Bound</v>
        <stp/>
        <stp>STRENGTH_METER</stp>
        <stp>VNO</stp>
        <tr r="C470" s="1"/>
      </tp>
      <tp>
        <v>7812341</v>
        <stp/>
        <stp>VOLUME</stp>
        <stp>RRC</stp>
        <tr r="J399" s="1"/>
      </tp>
      <tp>
        <v>819637</v>
        <stp/>
        <stp>VOLUME</stp>
        <stp>RSG</stp>
        <tr r="J400" s="1"/>
      </tp>
      <tp>
        <v>997122</v>
        <stp/>
        <stp>VOLUME</stp>
        <stp>RTN</stp>
        <tr r="J401" s="1"/>
      </tp>
      <tp t="s">
        <v>Range Bound</v>
        <stp/>
        <stp>STRENGTH_METER</stp>
        <stp>VFC</stp>
        <tr r="C466" s="1"/>
      </tp>
      <tp t="s">
        <v>Range Bound</v>
        <stp/>
        <stp>STRENGTH_METER</stp>
        <stp>VAR</stp>
        <tr r="C465" s="1"/>
      </tp>
      <tp t="s">
        <v>N/A</v>
        <stp/>
        <stp>OPEN</stp>
        <stp>BRK-B</stp>
        <tr r="K73" s="1"/>
      </tp>
      <tp>
        <v>14.21</v>
        <stp/>
        <stp>ASK</stp>
        <stp>RDC</stp>
        <tr r="G390" s="1"/>
      </tp>
      <tp t="s">
        <v>instrument=BSX</v>
        <stp/>
        <stp>QUOTE_TREND</stp>
        <stp>BSX</stp>
        <tr r="D74" s="1"/>
      </tp>
      <tp t="s">
        <v>instrument=BWA</v>
        <stp/>
        <stp>QUOTE_TREND</stp>
        <stp>BWA</stp>
        <tr r="D76" s="1"/>
      </tp>
      <tp>
        <v>65.59</v>
        <stp/>
        <stp>ASK</stp>
        <stp>RAI</stp>
        <tr r="G389" s="1"/>
      </tp>
      <tp t="s">
        <v>instrument=BTU</v>
        <stp/>
        <stp>QUOTE_TREND</stp>
        <stp>BTU</stp>
        <tr r="D75" s="1"/>
      </tp>
      <tp t="s">
        <v>instrument=BXP</v>
        <stp/>
        <stp>QUOTE_TREND</stp>
        <stp>BXP</stp>
        <tr r="D77" s="1"/>
      </tp>
      <tp>
        <v>200</v>
        <stp/>
        <stp>ASK</stp>
        <stp>ROK</stp>
        <tr r="G396" s="1"/>
      </tp>
      <tp>
        <v>256.35000000000002</v>
        <stp/>
        <stp>ASK</stp>
        <stp>ROP</stp>
        <tr r="G397" s="1"/>
      </tp>
      <tp>
        <v>55.73</v>
        <stp/>
        <stp>ASK</stp>
        <stp>RHI</stp>
        <tr r="G393" s="1"/>
      </tp>
      <tp>
        <v>126.36</v>
        <stp/>
        <stp>ASK</stp>
        <stp>RHT</stp>
        <tr r="G394" s="1"/>
      </tp>
      <tp t="s">
        <v>instrument=BCR</v>
        <stp/>
        <stp>QUOTE_TREND</stp>
        <stp>BCR</stp>
        <tr r="D59" s="1"/>
      </tp>
      <tp>
        <v>184</v>
        <stp/>
        <stp>ASK</stp>
        <stp>RTN</stp>
        <tr r="G401" s="1"/>
      </tp>
      <tp t="s">
        <v>instrument=BBT</v>
        <stp/>
        <stp>QUOTE_TREND</stp>
        <stp>BBT</stp>
        <tr r="D57" s="1"/>
      </tp>
      <tp t="s">
        <v>instrument=BBY</v>
        <stp/>
        <stp>QUOTE_TREND</stp>
        <stp>BBY</stp>
        <tr r="D58" s="1"/>
      </tp>
      <tp>
        <v>-0.92</v>
        <stp/>
        <stp>NET_CHANGE</stp>
        <stp>WYNN</stp>
        <tr r="E491" s="1"/>
      </tp>
      <tp t="s">
        <v>instrument=BAX</v>
        <stp/>
        <stp>QUOTE_TREND</stp>
        <stp>BAX</stp>
        <tr r="D55" s="1"/>
      </tp>
      <tp t="s">
        <v>instrument=BAC</v>
        <stp/>
        <stp>QUOTE_TREND</stp>
        <stp>BAC</stp>
        <tr r="D54" s="1"/>
      </tp>
      <tp>
        <v>-0.24</v>
        <stp/>
        <stp>NET_CHANGE</stp>
        <stp>SYMC</stp>
        <tr r="E431" s="1"/>
      </tp>
      <tp>
        <v>18.04</v>
        <stp/>
        <stp>ASK</stp>
        <stp>RRC</stp>
        <tr r="G399" s="1"/>
      </tp>
      <tp t="s">
        <v>instrument=BEN</v>
        <stp/>
        <stp>QUOTE_TREND</stp>
        <stp>BEN</stp>
        <tr r="D62" s="1"/>
      </tp>
      <tp>
        <v>64.42</v>
        <stp/>
        <stp>ASK</stp>
        <stp>RSG</stp>
        <tr r="G400" s="1"/>
      </tp>
      <tp t="s">
        <v>instrument=BDX</v>
        <stp/>
        <stp>QUOTE_TREND</stp>
        <stp>BDX</stp>
        <tr r="D60" s="1"/>
      </tp>
      <tp>
        <v>8</v>
        <stp/>
        <stp>BID</stp>
        <stp>QEP</stp>
        <tr r="F387" s="1"/>
      </tp>
      <tp t="s">
        <v>instrument=BHI</v>
        <stp/>
        <stp>QUOTE_TREND</stp>
        <stp>BHI</stp>
        <tr r="D64" s="1"/>
      </tp>
      <tp t="s">
        <v>instrument=BMS</v>
        <stp/>
        <stp>QUOTE_TREND</stp>
        <stp>BMS</stp>
        <tr r="D70" s="1"/>
      </tp>
      <tp t="s">
        <v>instrument=BMY</v>
        <stp/>
        <stp>QUOTE_TREND</stp>
        <stp>BMY</stp>
        <tr r="D71" s="1"/>
      </tp>
      <tp t="s">
        <v>instrument=BMC</v>
        <stp/>
        <stp>QUOTE_TREND</stp>
        <stp>BMC</stp>
        <tr r="D69" s="1"/>
      </tp>
      <tp t="s">
        <v>instrument=BLL</v>
        <stp/>
        <stp>QUOTE_TREND</stp>
        <stp>BLL</stp>
        <tr r="D68" s="1"/>
      </tp>
      <tp t="s">
        <v>instrument=BLK</v>
        <stp/>
        <stp>QUOTE_TREND</stp>
        <stp>BLK</stp>
        <tr r="D67" s="1"/>
      </tp>
      <tp>
        <v>77.069999999999993</v>
        <stp/>
        <stp>HIGH</stp>
        <stp>VNO</stp>
        <tr r="L470" s="1"/>
      </tp>
      <tp>
        <v>67.47</v>
        <stp/>
        <stp>52HIGH</stp>
        <stp>AIG</stp>
        <tr r="N25" s="1"/>
      </tp>
      <tp>
        <v>106.985</v>
        <stp/>
        <stp>52HIGH</stp>
        <stp>AIZ</stp>
        <tr r="N27" s="1"/>
      </tp>
      <tp>
        <v>46.854999999999997</v>
        <stp/>
        <stp>52HIGH</stp>
        <stp>AIV</stp>
        <tr r="N26" s="1"/>
      </tp>
      <tp>
        <v>67.34</v>
        <stp/>
        <stp>OPEN</stp>
        <stp>OMC</stp>
        <tr r="K346" s="1"/>
      </tp>
      <tp>
        <v>82.92</v>
        <stp/>
        <stp>HIGH</stp>
        <stp>VLO</stp>
        <tr r="L468" s="1"/>
      </tp>
      <tp>
        <v>124.99</v>
        <stp/>
        <stp>HIGH</stp>
        <stp>VMC</stp>
        <tr r="L469" s="1"/>
      </tp>
      <tp>
        <v>102.58</v>
        <stp/>
        <stp>ASK</stp>
        <stp>KLAC</stp>
        <tr r="G261" s="1"/>
      </tp>
      <tp>
        <v>15.65</v>
        <stp/>
        <stp>52HIGH</stp>
        <stp>AMD</stp>
        <tr r="N33" s="1"/>
      </tp>
      <tp>
        <v>155.28</v>
        <stp/>
        <stp>52HIGH</stp>
        <stp>AMT</stp>
        <tr r="N36" s="1"/>
      </tp>
      <tp>
        <v>163.04</v>
        <stp/>
        <stp>52HIGH</stp>
        <stp>AMP</stp>
        <tr r="N35" s="1"/>
      </tp>
      <tp>
        <v>60.18</v>
        <stp/>
        <stp>Mark</stp>
        <stp>FSLR</stp>
        <tr r="P193" s="1"/>
      </tp>
      <tp>
        <v>113.75</v>
        <stp/>
        <stp>Last</stp>
        <stp>VRSN</stp>
        <tr r="B471" s="1"/>
      </tp>
      <tp>
        <v>101.12</v>
        <stp/>
        <stp>52HIGH</stp>
        <stp>ALL</stp>
        <tr r="N29" s="1"/>
      </tp>
      <tp>
        <v>152.78</v>
        <stp/>
        <stp>52HIGH</stp>
        <stp>AON</stp>
        <tr r="N40" s="1"/>
      </tp>
      <tp>
        <v>50.76</v>
        <stp/>
        <stp>OPEN</stp>
        <stp>OKE</stp>
        <tr r="K345" s="1"/>
      </tp>
      <tp>
        <v>16.989999999999998</v>
        <stp/>
        <stp>52HIGH</stp>
        <stp>ANF</stp>
        <tr r="N39" s="1"/>
      </tp>
      <tp>
        <v>71.25</v>
        <stp/>
        <stp>HIGH</stp>
        <stp>VFC</stp>
        <tr r="L466" s="1"/>
      </tp>
      <tp>
        <v>211.3</v>
        <stp/>
        <stp>BID</stp>
        <stp>NVDA</stp>
        <tr r="F340" s="1"/>
      </tp>
      <tp>
        <v>35.89</v>
        <stp/>
        <stp>Mark</stp>
        <stp>CSCO</stp>
        <tr r="P119" s="1"/>
      </tp>
      <tp>
        <v>147.28</v>
        <stp/>
        <stp>52HIGH</stp>
        <stp>ACN</stp>
        <tr r="N11" s="1"/>
      </tp>
      <tp>
        <v>119.855</v>
        <stp/>
        <stp>52HIGH</stp>
        <stp>ACE</stp>
        <tr r="N10" s="1"/>
      </tp>
      <tp>
        <v>0</v>
        <stp/>
        <stp>52HIGH</stp>
        <stp>ACT</stp>
        <tr r="N12" s="1"/>
      </tp>
      <tp>
        <v>68.06</v>
        <stp/>
        <stp>52LOW</stp>
        <stp>ADSK</stp>
        <tr r="O17" s="1"/>
      </tp>
      <tp>
        <v>10.62</v>
        <stp/>
        <stp>52LOW</stp>
        <stp>JDSU</stp>
        <tr r="O251" s="1"/>
      </tp>
      <tp>
        <v>97.85</v>
        <stp/>
        <stp>52HIGH</stp>
        <stp>ABC</stp>
        <tr r="N8" s="1"/>
      </tp>
      <tp>
        <v>56.685000000000002</v>
        <stp/>
        <stp>52HIGH</stp>
        <stp>ABT</stp>
        <tr r="N9" s="1"/>
      </tp>
      <tp>
        <v>46.96</v>
        <stp/>
        <stp>ASK</stp>
        <stp>FLIR</stp>
        <tr r="G187" s="1"/>
      </tp>
      <tp>
        <v>64.89</v>
        <stp/>
        <stp>52HIGH</stp>
        <stp>AEE</stp>
        <tr r="N19" s="1"/>
      </tp>
      <tp>
        <v>184.98</v>
        <stp/>
        <stp>52HIGH</stp>
        <stp>AET</stp>
        <tr r="N22" s="1"/>
      </tp>
      <tp>
        <v>77.930000000000007</v>
        <stp/>
        <stp>52HIGH</stp>
        <stp>AEP</stp>
        <tr r="N20" s="1"/>
      </tp>
      <tp>
        <v>12.47</v>
        <stp/>
        <stp>52HIGH</stp>
        <stp>AES</stp>
        <tr r="N21" s="1"/>
      </tp>
      <tp>
        <v>72.989999999999995</v>
        <stp/>
        <stp>ASK</stp>
        <stp>XLNX</stp>
        <tr r="G495" s="1"/>
      </tp>
      <tp>
        <v>47.44</v>
        <stp/>
        <stp>52HIGH</stp>
        <stp>ADM</stp>
        <tr r="N15" s="1"/>
      </tp>
      <tp>
        <v>92.96</v>
        <stp/>
        <stp>52HIGH</stp>
        <stp>ADI</stp>
        <tr r="N14" s="1"/>
      </tp>
      <tp>
        <v>0</v>
        <stp/>
        <stp>52HIGH</stp>
        <stp>ADT</stp>
        <tr r="N18" s="1"/>
      </tp>
      <tp>
        <v>121.77</v>
        <stp/>
        <stp>52HIGH</stp>
        <stp>ADP</stp>
        <tr r="N16" s="1"/>
      </tp>
      <tp>
        <v>256.8</v>
        <stp/>
        <stp>52HIGH</stp>
        <stp>AGN</stp>
        <tr r="N24" s="1"/>
      </tp>
      <tp>
        <v>82.4</v>
        <stp/>
        <stp>Mark</stp>
        <stp>MSFT</stp>
        <tr r="P315" s="1"/>
      </tp>
      <tp>
        <v>109.58499999999999</v>
        <stp/>
        <stp>HIGH</stp>
        <stp>VAR</stp>
        <tr r="L465" s="1"/>
      </tp>
      <tp>
        <v>85.7</v>
        <stp/>
        <stp>52HIGH</stp>
        <stp>AFL</stp>
        <tr r="N23" s="1"/>
      </tp>
      <tp>
        <v>0</v>
        <stp/>
        <stp>Last</stp>
        <stp>KRFT</stp>
        <tr r="B267" s="1"/>
      </tp>
      <tp>
        <v>85.89</v>
        <stp/>
        <stp>Last</stp>
        <stp>PRGO</stp>
        <tr r="B378" s="1"/>
      </tp>
      <tp>
        <v>96.9</v>
        <stp/>
        <stp>52HIGH</stp>
        <stp>AXP</stp>
        <tr r="N51" s="1"/>
      </tp>
      <tp>
        <v>0</v>
        <stp/>
        <stp>LOW</stp>
        <stp>APOL</stp>
        <tr r="M45" s="1"/>
      </tp>
      <tp>
        <v>103.69</v>
        <stp/>
        <stp>ASK</stp>
        <stp>DLPH</stp>
        <tr r="G140" s="1"/>
      </tp>
      <tp>
        <v>0</v>
        <stp/>
        <stp>LOW</stp>
        <stp>SPLS</stp>
        <tr r="M419" s="1"/>
      </tp>
      <tp>
        <v>813.7</v>
        <stp/>
        <stp>52HIGH</stp>
        <stp>AZO</stp>
        <tr r="N52" s="1"/>
      </tp>
      <tp>
        <v>67.91</v>
        <stp/>
        <stp>OPEN</stp>
        <stp>OXY</stp>
        <tr r="K349" s="1"/>
      </tp>
      <tp>
        <v>27.9</v>
        <stp/>
        <stp>Last</stp>
        <stp>URBN</stp>
        <tr r="B461" s="1"/>
      </tp>
      <tp>
        <v>210.47</v>
        <stp/>
        <stp>Last</stp>
        <stp>LRCX</stp>
        <tr r="B282" s="1"/>
      </tp>
      <tp>
        <v>0</v>
        <stp/>
        <stp>Last</stp>
        <stp>BRCM</stp>
        <tr r="B72" s="1"/>
      </tp>
      <tp>
        <v>62.76</v>
        <stp/>
        <stp>Last</stp>
        <stp>SRCL</stp>
        <tr r="B420" s="1"/>
      </tp>
      <tp>
        <v>48.94</v>
        <stp/>
        <stp>Last</stp>
        <stp>ORCL</stp>
        <tr r="B347" s="1"/>
      </tp>
      <tp>
        <v>39.19</v>
        <stp/>
        <stp>52LOW</stp>
        <stp>MDLZ</stp>
        <tr r="O298" s="1"/>
      </tp>
      <tp>
        <v>65.19</v>
        <stp/>
        <stp>ASK</stp>
        <stp>LLTC</stp>
        <tr r="G275" s="1"/>
      </tp>
      <tp>
        <v>24.16</v>
        <stp/>
        <stp>ASK</stp>
        <stp>ALTR</stp>
        <tr r="G30" s="1"/>
      </tp>
      <tp>
        <v>95.2</v>
        <stp/>
        <stp>ASK</stp>
        <stp>DLTR</stp>
        <tr r="G141" s="1"/>
      </tp>
      <tp>
        <v>67.55</v>
        <stp/>
        <stp>Last</stp>
        <stp>XRAY</stp>
        <tr r="B497" s="1"/>
      </tp>
      <tp>
        <v>63.36</v>
        <stp/>
        <stp>52LOW</stp>
        <stp>NDAQ</stp>
        <tr r="O324" s="1"/>
      </tp>
      <tp>
        <v>95.98</v>
        <stp/>
        <stp>Last</stp>
        <stp>TROW</stp>
        <tr r="B447" s="1"/>
      </tp>
      <tp>
        <v>89.69</v>
        <stp/>
        <stp>52HIGH</stp>
        <stp>APH</stp>
        <tr r="N44" s="1"/>
      </tp>
      <tp>
        <v>163.56</v>
        <stp/>
        <stp>52HIGH</stp>
        <stp>APD</stp>
        <tr r="N43" s="1"/>
      </tp>
      <tp>
        <v>69</v>
        <stp/>
        <stp>52HIGH</stp>
        <stp>APA</stp>
        <tr r="N41" s="1"/>
      </tp>
      <tp>
        <v>73.33</v>
        <stp/>
        <stp>52HIGH</stp>
        <stp>APC</stp>
        <tr r="N42" s="1"/>
      </tp>
      <tp>
        <v>220.49</v>
        <stp/>
        <stp>Last</stp>
        <stp>ORLY</stp>
        <tr r="B348" s="1"/>
      </tp>
      <tp>
        <v>64.75</v>
        <stp/>
        <stp>HIGH</stp>
        <stp>VTR</stp>
        <tr r="L472" s="1"/>
      </tp>
      <tp>
        <v>110.94</v>
        <stp/>
        <stp>ASK</stp>
        <stp>ALXN</stp>
        <tr r="G31" s="1"/>
      </tp>
      <tp>
        <v>32.17</v>
        <stp/>
        <stp>52LOW</stp>
        <stp>PDCO</stp>
        <tr r="O358" s="1"/>
      </tp>
      <tp>
        <v>61.94</v>
        <stp/>
        <stp>Mark</stp>
        <stp>ESRX</stp>
        <tr r="P167" s="1"/>
      </tp>
      <tp>
        <v>392.48</v>
        <stp/>
        <stp>Mark</stp>
        <stp>ISRG</stp>
        <tr r="P245" s="1"/>
      </tp>
      <tp>
        <v>61.45</v>
        <stp/>
        <stp>Last</stp>
        <stp>GRMN</stp>
        <tr r="B208" s="1"/>
      </tp>
      <tp>
        <v>143.05000000000001</v>
        <stp/>
        <stp>52HIGH</stp>
        <stp>ARG</stp>
        <tr r="N46" s="1"/>
      </tp>
      <tp>
        <v>98</v>
        <stp/>
        <stp>52LOW</stp>
        <stp>ADBE</stp>
        <tr r="O13" s="1"/>
      </tp>
      <tp>
        <v>26.59</v>
        <stp/>
        <stp>52HIGH</stp>
        <stp>ATI</stp>
        <tr r="N47" s="1"/>
      </tp>
      <tp>
        <v>30.59</v>
        <stp/>
        <stp>Last</stp>
        <stp>TRIP</stp>
        <tr r="B446" s="1"/>
      </tp>
      <tp>
        <v>199.52</v>
        <stp/>
        <stp>52HIGH</stp>
        <stp>AVB</stp>
        <tr r="N48" s="1"/>
      </tp>
      <tp>
        <v>108.99</v>
        <stp/>
        <stp>52HIGH</stp>
        <stp>AVY</stp>
        <tr r="N50" s="1"/>
      </tp>
      <tp>
        <v>6.03</v>
        <stp/>
        <stp>52HIGH</stp>
        <stp>AVP</stp>
        <tr r="N49" s="1"/>
      </tp>
      <tp>
        <v>5</v>
        <stp/>
        <stp>BID_SIZE</stp>
        <stp>WU</stp>
        <tr r="H488" s="1"/>
      </tp>
      <tp>
        <v>5</v>
        <stp/>
        <stp>BID_SIZE</stp>
        <stp>WY</stp>
        <tr r="H489" s="1"/>
      </tp>
      <tp>
        <v>1</v>
        <stp/>
        <stp>BID_SIZE</stp>
        <stp>WM</stp>
        <tr r="H483" s="1"/>
      </tp>
      <tp>
        <v>3</v>
        <stp/>
        <stp>BID_SIZE</stp>
        <stp>VZ</stp>
        <tr r="H473" s="1"/>
      </tp>
      <tp>
        <v>0</v>
        <stp/>
        <stp>BID_SIZE</stp>
        <stp>TE</stp>
        <tr r="H436" s="1"/>
      </tp>
      <tp>
        <v>2</v>
        <stp/>
        <stp>BID_SIZE</stp>
        <stp>SE</stp>
        <tr r="H407" s="1"/>
      </tp>
      <tp>
        <v>1</v>
        <stp/>
        <stp>BID_SIZE</stp>
        <stp>SO</stp>
        <tr r="H417" s="1"/>
      </tp>
      <tp>
        <v>7</v>
        <stp/>
        <stp>BID_SIZE</stp>
        <stp>RF</stp>
        <tr r="H392" s="1"/>
      </tp>
      <tp>
        <v>1</v>
        <stp/>
        <stp>BID_SIZE</stp>
        <stp>RL</stp>
        <tr r="H395" s="1"/>
      </tp>
      <tp>
        <v>4</v>
        <stp/>
        <stp>BID_SIZE</stp>
        <stp>PX</stp>
        <tr r="H384" s="1"/>
      </tp>
      <tp>
        <v>1</v>
        <stp/>
        <stp>BID_SIZE</stp>
        <stp>PG</stp>
        <tr r="H364" s="1"/>
      </tp>
      <tp>
        <v>3</v>
        <stp/>
        <stp>BID_SIZE</stp>
        <stp>PM</stp>
        <tr r="H371" s="1"/>
      </tp>
      <tp>
        <v>1</v>
        <stp/>
        <stp>BID_SIZE</stp>
        <stp>PH</stp>
        <tr r="H366" s="1"/>
      </tp>
      <tp t="s">
        <v>Range Bound</v>
        <stp/>
        <stp>STRENGTH_METER</stp>
        <stp>YUM</stp>
        <tr r="C501" s="1"/>
      </tp>
      <tp>
        <v>10</v>
        <stp/>
        <stp>BID_SIZE</stp>
        <stp>XL</stp>
        <tr r="H494" s="1"/>
      </tp>
      <tp>
        <v>1</v>
        <stp/>
        <stp>BID_SIZE</stp>
        <stp>GT</stp>
        <tr r="H210" s="1"/>
      </tp>
      <tp>
        <v>1</v>
        <stp/>
        <stp>BID_SIZE</stp>
        <stp>GS</stp>
        <tr r="H209" s="1"/>
      </tp>
      <tp>
        <v>5</v>
        <stp/>
        <stp>BID_SIZE</stp>
        <stp>GE</stp>
        <tr r="H199" s="1"/>
      </tp>
      <tp>
        <v>1</v>
        <stp/>
        <stp>BID_SIZE</stp>
        <stp>GD</stp>
        <tr r="H198" s="1"/>
      </tp>
      <tp>
        <v>8</v>
        <stp/>
        <stp>BID_SIZE</stp>
        <stp>FE</stp>
        <tr r="H181" s="1"/>
      </tp>
      <tp>
        <v>2</v>
        <stp/>
        <stp>BID_SIZE</stp>
        <stp>EW</stp>
        <tr r="H172" s="1"/>
      </tp>
      <tp>
        <v>2</v>
        <stp/>
        <stp>BID_SIZE</stp>
        <stp>ED</stp>
        <tr r="H157" s="1"/>
      </tp>
      <tp>
        <v>1</v>
        <stp/>
        <stp>BID_SIZE</stp>
        <stp>EA</stp>
        <tr r="H154" s="1"/>
      </tp>
      <tp>
        <v>6</v>
        <stp/>
        <stp>BID_SIZE</stp>
        <stp>EL</stp>
        <tr r="H160" s="1"/>
      </tp>
      <tp>
        <v>1</v>
        <stp/>
        <stp>BID_SIZE</stp>
        <stp>DG</stp>
        <tr r="H134" s="1"/>
      </tp>
      <tp>
        <v>5</v>
        <stp/>
        <stp>BID_SIZE</stp>
        <stp>DF</stp>
        <tr r="H132" s="1"/>
      </tp>
      <tp>
        <v>1</v>
        <stp/>
        <stp>BID_SIZE</stp>
        <stp>DE</stp>
        <tr r="H130" s="1"/>
      </tp>
      <tp>
        <v>0</v>
        <stp/>
        <stp>BID_SIZE</stp>
        <stp>DD</stp>
        <tr r="H129" s="1"/>
      </tp>
      <tp>
        <v>1</v>
        <stp/>
        <stp>BID_SIZE</stp>
        <stp>DO</stp>
        <tr r="H144" s="1"/>
      </tp>
      <tp>
        <v>1</v>
        <stp/>
        <stp>BID_SIZE</stp>
        <stp>CF</stp>
        <tr r="H92" s="1"/>
      </tp>
      <tp>
        <v>1</v>
        <stp/>
        <stp>BID_SIZE</stp>
        <stp>CB</stp>
        <tr r="H84" s="1"/>
      </tp>
      <tp>
        <v>1</v>
        <stp/>
        <stp>BID_SIZE</stp>
        <stp>CA</stp>
        <tr r="H79" s="1"/>
      </tp>
      <tp>
        <v>1</v>
        <stp/>
        <stp>BID_SIZE</stp>
        <stp>CL</stp>
        <tr r="H98" s="1"/>
      </tp>
      <tp>
        <v>1</v>
        <stp/>
        <stp>BID_SIZE</stp>
        <stp>CI</stp>
        <tr r="H96" s="1"/>
      </tp>
      <tp>
        <v>7</v>
        <stp/>
        <stp>BID_SIZE</stp>
        <stp>BA</stp>
        <tr r="H53" s="1"/>
      </tp>
      <tp>
        <v>2</v>
        <stp/>
        <stp>BID_SIZE</stp>
        <stp>BK</stp>
        <tr r="H66" s="1"/>
      </tp>
      <tp>
        <v>3</v>
        <stp/>
        <stp>BID_SIZE</stp>
        <stp>AA</stp>
        <tr r="H5" s="1"/>
      </tp>
      <tp>
        <v>1</v>
        <stp/>
        <stp>BID_SIZE</stp>
        <stp>AN</stp>
        <tr r="H38" s="1"/>
      </tp>
      <tp>
        <v>2</v>
        <stp/>
        <stp>BID_SIZE</stp>
        <stp>OI</stp>
        <tr r="H344" s="1"/>
      </tp>
      <tp>
        <v>0</v>
        <stp/>
        <stp>BID_SIZE</stp>
        <stp>NU</stp>
        <tr r="H338" s="1"/>
      </tp>
      <tp>
        <v>20</v>
        <stp/>
        <stp>BID_SIZE</stp>
        <stp>NE</stp>
        <tr r="H325" s="1"/>
      </tp>
      <tp>
        <v>10</v>
        <stp/>
        <stp>BID_SIZE</stp>
        <stp>NI</stp>
        <tr r="H330" s="1"/>
      </tp>
      <tp>
        <v>2</v>
        <stp/>
        <stp>BID_SIZE</stp>
        <stp>MU</stp>
        <tr r="H318" s="1"/>
      </tp>
      <tp>
        <v>1</v>
        <stp/>
        <stp>BID_SIZE</stp>
        <stp>MS</stp>
        <tr r="H314" s="1"/>
      </tp>
      <tp>
        <v>1</v>
        <stp/>
        <stp>BID_SIZE</stp>
        <stp>MA</stp>
        <tr r="H289" s="1"/>
      </tp>
      <tp>
        <v>10</v>
        <stp/>
        <stp>BID_SIZE</stp>
        <stp>MO</stp>
        <tr r="H307" s="1"/>
      </tp>
      <tp>
        <v>0</v>
        <stp/>
        <stp>BID_SIZE</stp>
        <stp>LO</stp>
        <tr r="H280" s="1"/>
      </tp>
      <tp>
        <v>1</v>
        <stp/>
        <stp>BID_SIZE</stp>
        <stp>LM</stp>
        <tr r="H277" s="1"/>
      </tp>
      <tp>
        <v>2</v>
        <stp/>
        <stp>BID_SIZE</stp>
        <stp>LH</stp>
        <tr r="H272" s="1"/>
      </tp>
      <tp>
        <v>26</v>
        <stp/>
        <stp>BID_SIZE</stp>
        <stp>KR</stp>
        <tr r="H266" s="1"/>
      </tp>
      <tp>
        <v>4</v>
        <stp/>
        <stp>BID_SIZE</stp>
        <stp>KO</stp>
        <tr r="H265" s="1"/>
      </tp>
      <tp>
        <v>3</v>
        <stp/>
        <stp>BID_SIZE</stp>
        <stp>IR</stp>
        <tr r="H243" s="1"/>
      </tp>
      <tp>
        <v>1</v>
        <stp/>
        <stp>BID_SIZE</stp>
        <stp>IP</stp>
        <tr r="H241" s="1"/>
      </tp>
      <tp>
        <v>1</v>
        <stp/>
        <stp>BID_SIZE</stp>
        <stp>HP</stp>
        <tr r="H226" s="1"/>
      </tp>
      <tp>
        <v>5</v>
        <stp/>
        <stp>BID_SIZE</stp>
        <stp>HD</stp>
        <tr r="H219" s="1"/>
      </tp>
      <tp t="s">
        <v>instrument=CSX</v>
        <stp/>
        <stp>QUOTE_TREND</stp>
        <stp>CSX</stp>
        <tr r="D120" s="1"/>
      </tp>
      <tp t="s">
        <v>instrument=CSC</v>
        <stp/>
        <stp>QUOTE_TREND</stp>
        <stp>CSC</stp>
        <tr r="D118" s="1"/>
      </tp>
      <tp t="s">
        <v>instrument=KR</v>
        <stp/>
        <stp>QUOTE_TREND</stp>
        <stp>KR</stp>
        <tr r="D266" s="1"/>
      </tp>
      <tp t="s">
        <v>instrument=KO</v>
        <stp/>
        <stp>QUOTE_TREND</stp>
        <stp>KO</stp>
        <tr r="D265" s="1"/>
      </tp>
      <tp>
        <v>45.73</v>
        <stp/>
        <stp>ASK</stp>
        <stp>SEE</stp>
        <tr r="G408" s="1"/>
      </tp>
      <tp t="s">
        <v>instrument=CRM</v>
        <stp/>
        <stp>QUOTE_TREND</stp>
        <stp>CRM</stp>
        <tr r="D117" s="1"/>
      </tp>
      <tp t="s">
        <v>instrument=HP</v>
        <stp/>
        <stp>QUOTE_TREND</stp>
        <stp>HP</stp>
        <tr r="D226" s="1"/>
      </tp>
      <tp t="s">
        <v>instrument=HD</v>
        <stp/>
        <stp>QUOTE_TREND</stp>
        <stp>HD</stp>
        <tr r="D219" s="1"/>
      </tp>
      <tp t="s">
        <v>instrument=IR</v>
        <stp/>
        <stp>QUOTE_TREND</stp>
        <stp>IR</stp>
        <tr r="D243" s="1"/>
      </tp>
      <tp t="s">
        <v>instrument=IP</v>
        <stp/>
        <stp>QUOTE_TREND</stp>
        <stp>IP</stp>
        <tr r="D241" s="1"/>
      </tp>
      <tp t="s">
        <v>instrument=CPB</v>
        <stp/>
        <stp>QUOTE_TREND</stp>
        <stp>CPB</stp>
        <tr r="D116" s="1"/>
      </tp>
      <tp t="s">
        <v>instrument=NU</v>
        <stp/>
        <stp>QUOTE_TREND</stp>
        <stp>NU</stp>
        <tr r="D338" s="1"/>
      </tp>
      <tp t="s">
        <v>instrument=NE</v>
        <stp/>
        <stp>QUOTE_TREND</stp>
        <stp>NE</stp>
        <tr r="D325" s="1"/>
      </tp>
      <tp t="s">
        <v>instrument=NI</v>
        <stp/>
        <stp>QUOTE_TREND</stp>
        <stp>NI</stp>
        <tr r="D330" s="1"/>
      </tp>
      <tp t="s">
        <v>instrument=OI</v>
        <stp/>
        <stp>QUOTE_TREND</stp>
        <stp>OI</stp>
        <tr r="D344" s="1"/>
      </tp>
      <tp t="s">
        <v>instrument=CVS</v>
        <stp/>
        <stp>QUOTE_TREND</stp>
        <stp>CVS</stp>
        <tr r="D126" s="1"/>
      </tp>
      <tp t="s">
        <v>N/A</v>
        <stp/>
        <stp>ASK</stp>
        <stp>SAI</stp>
        <tr r="G403" s="1"/>
      </tp>
      <tp t="s">
        <v>instrument=CVX</v>
        <stp/>
        <stp>QUOTE_TREND</stp>
        <stp>CVX</stp>
        <tr r="D127" s="1"/>
      </tp>
      <tp t="s">
        <v>instrument=CVC</v>
        <stp/>
        <stp>QUOTE_TREND</stp>
        <stp>CVC</stp>
        <tr r="D125" s="1"/>
      </tp>
      <tp>
        <v>37</v>
        <stp/>
        <stp>HIGH</stp>
        <stp>CMCSA</stp>
        <tr r="L102" s="1"/>
      </tp>
      <tp t="s">
        <v>instrument=LH</v>
        <stp/>
        <stp>QUOTE_TREND</stp>
        <stp>LH</stp>
        <tr r="D272" s="1"/>
      </tp>
      <tp t="s">
        <v>instrument=LO</v>
        <stp/>
        <stp>QUOTE_TREND</stp>
        <stp>LO</stp>
        <tr r="D280" s="1"/>
      </tp>
      <tp t="s">
        <v>instrument=LM</v>
        <stp/>
        <stp>QUOTE_TREND</stp>
        <stp>LM</stp>
        <tr r="D277" s="1"/>
      </tp>
      <tp>
        <v>150.01</v>
        <stp/>
        <stp>BID</stp>
        <stp>PXD</stp>
        <tr r="F385" s="1"/>
      </tp>
      <tp t="s">
        <v>instrument=MS</v>
        <stp/>
        <stp>QUOTE_TREND</stp>
        <stp>MS</stp>
        <tr r="D314" s="1"/>
      </tp>
      <tp t="s">
        <v>instrument=MU</v>
        <stp/>
        <stp>QUOTE_TREND</stp>
        <stp>MU</stp>
        <tr r="D318" s="1"/>
      </tp>
      <tp t="s">
        <v>instrument=MA</v>
        <stp/>
        <stp>QUOTE_TREND</stp>
        <stp>MA</stp>
        <tr r="D289" s="1"/>
      </tp>
      <tp t="s">
        <v>instrument=MO</v>
        <stp/>
        <stp>QUOTE_TREND</stp>
        <stp>MO</stp>
        <tr r="D307" s="1"/>
      </tp>
      <tp>
        <v>46</v>
        <stp/>
        <stp>ASK</stp>
        <stp>SCG</stp>
        <tr r="G405" s="1"/>
      </tp>
      <tp t="s">
        <v>instrument=CTL</v>
        <stp/>
        <stp>QUOTE_TREND</stp>
        <stp>CTL</stp>
        <tr r="D122" s="1"/>
      </tp>
      <tp t="s">
        <v>instrument=BA</v>
        <stp/>
        <stp>QUOTE_TREND</stp>
        <stp>BA</stp>
        <tr r="D53" s="1"/>
      </tp>
      <tp t="s">
        <v>instrument=BK</v>
        <stp/>
        <stp>QUOTE_TREND</stp>
        <stp>BK</stp>
        <tr r="D66" s="1"/>
      </tp>
      <tp>
        <v>62.04</v>
        <stp/>
        <stp>ASK</stp>
        <stp>SLB</stp>
        <tr r="G412" s="1"/>
      </tp>
      <tp>
        <v>133.18</v>
        <stp/>
        <stp>BID</stp>
        <stp>PVH</stp>
        <tr r="F382" s="1"/>
      </tp>
      <tp>
        <v>10.35</v>
        <stp/>
        <stp>ASK</stp>
        <stp>SLM</stp>
        <tr r="G413" s="1"/>
      </tp>
      <tp t="s">
        <v>instrument=CB</v>
        <stp/>
        <stp>QUOTE_TREND</stp>
        <stp>CB</stp>
        <tr r="D84" s="1"/>
      </tp>
      <tp t="s">
        <v>instrument=CA</v>
        <stp/>
        <stp>QUOTE_TREND</stp>
        <stp>CA</stp>
        <tr r="D79" s="1"/>
      </tp>
      <tp t="s">
        <v>instrument=CF</v>
        <stp/>
        <stp>QUOTE_TREND</stp>
        <stp>CF</stp>
        <tr r="D92" s="1"/>
      </tp>
      <tp t="s">
        <v>instrument=CI</v>
        <stp/>
        <stp>QUOTE_TREND</stp>
        <stp>CI</stp>
        <tr r="D96" s="1"/>
      </tp>
      <tp t="s">
        <v>instrument=CL</v>
        <stp/>
        <stp>QUOTE_TREND</stp>
        <stp>CL</stp>
        <tr r="D98" s="1"/>
      </tp>
      <tp>
        <v>35</v>
        <stp/>
        <stp>BID</stp>
        <stp>PWR</stp>
        <tr r="F383" s="1"/>
      </tp>
      <tp>
        <v>163.97</v>
        <stp/>
        <stp>ASK</stp>
        <stp>SNA</stp>
        <tr r="G414" s="1"/>
      </tp>
      <tp>
        <v>80.760000000000005</v>
        <stp/>
        <stp>ASK</stp>
        <stp>SNI</stp>
        <tr r="G416" s="1"/>
      </tp>
      <tp t="s">
        <v>instrument=AA</v>
        <stp/>
        <stp>QUOTE_TREND</stp>
        <stp>AA</stp>
        <tr r="D5" s="1"/>
      </tp>
      <tp t="s">
        <v>instrument=AN</v>
        <stp/>
        <stp>QUOTE_TREND</stp>
        <stp>AN</stp>
        <tr r="D38" s="1"/>
      </tp>
      <tp t="s">
        <v>instrument=FE</v>
        <stp/>
        <stp>QUOTE_TREND</stp>
        <stp>FE</stp>
        <tr r="D181" s="1"/>
      </tp>
      <tp>
        <v>396.56</v>
        <stp/>
        <stp>ASK</stp>
        <stp>SHW</stp>
        <tr r="G409" s="1"/>
      </tp>
      <tp>
        <v>106</v>
        <stp/>
        <stp>BID</stp>
        <stp>PRU</stp>
        <tr r="F379" s="1"/>
      </tp>
      <tp t="s">
        <v>instrument=GS</v>
        <stp/>
        <stp>QUOTE_TREND</stp>
        <stp>GS</stp>
        <tr r="D209" s="1"/>
      </tp>
      <tp t="s">
        <v>instrument=GT</v>
        <stp/>
        <stp>QUOTE_TREND</stp>
        <stp>GT</stp>
        <tr r="D210" s="1"/>
      </tp>
      <tp t="s">
        <v>instrument=GE</v>
        <stp/>
        <stp>QUOTE_TREND</stp>
        <stp>GE</stp>
        <tr r="D199" s="1"/>
      </tp>
      <tp t="s">
        <v>instrument=GD</v>
        <stp/>
        <stp>QUOTE_TREND</stp>
        <stp>GD</stp>
        <tr r="D198" s="1"/>
      </tp>
      <tp>
        <v>207.03</v>
        <stp/>
        <stp>BID</stp>
        <stp>PSA</stp>
        <tr r="F380" s="1"/>
      </tp>
      <tp>
        <v>91.5</v>
        <stp/>
        <stp>BID</stp>
        <stp>PSX</stp>
        <tr r="F381" s="1"/>
      </tp>
      <tp t="s">
        <v>instrument=DG</v>
        <stp/>
        <stp>QUOTE_TREND</stp>
        <stp>DG</stp>
        <tr r="D134" s="1"/>
      </tp>
      <tp t="s">
        <v>instrument=DF</v>
        <stp/>
        <stp>QUOTE_TREND</stp>
        <stp>DF</stp>
        <tr r="D132" s="1"/>
      </tp>
      <tp t="s">
        <v>instrument=DE</v>
        <stp/>
        <stp>QUOTE_TREND</stp>
        <stp>DE</stp>
        <tr r="D130" s="1"/>
      </tp>
      <tp t="s">
        <v>instrument=DD</v>
        <stp/>
        <stp>QUOTE_TREND</stp>
        <stp>DD</stp>
        <tr r="D129" s="1"/>
      </tp>
      <tp t="s">
        <v>instrument=DO</v>
        <stp/>
        <stp>QUOTE_TREND</stp>
        <stp>DO</stp>
        <tr r="D144" s="1"/>
      </tp>
      <tp>
        <v>36.17</v>
        <stp/>
        <stp>BID</stp>
        <stp>PPL</stp>
        <tr r="F377" s="1"/>
      </tp>
      <tp>
        <v>113.83</v>
        <stp/>
        <stp>BID</stp>
        <stp>PPG</stp>
        <tr r="F376" s="1"/>
      </tp>
      <tp>
        <v>114.34</v>
        <stp/>
        <stp>ASK</stp>
        <stp>SJM</stp>
        <tr r="G411" s="1"/>
      </tp>
      <tp t="s">
        <v>instrument=EW</v>
        <stp/>
        <stp>QUOTE_TREND</stp>
        <stp>EW</stp>
        <tr r="D172" s="1"/>
      </tp>
      <tp t="s">
        <v>instrument=EA</v>
        <stp/>
        <stp>QUOTE_TREND</stp>
        <stp>EA</stp>
        <tr r="D154" s="1"/>
      </tp>
      <tp t="s">
        <v>instrument=ED</v>
        <stp/>
        <stp>QUOTE_TREND</stp>
        <stp>ED</stp>
        <tr r="D157" s="1"/>
      </tp>
      <tp t="s">
        <v>instrument=EL</v>
        <stp/>
        <stp>QUOTE_TREND</stp>
        <stp>EL</stp>
        <tr r="D160" s="1"/>
      </tp>
      <tp>
        <v>-0.65</v>
        <stp/>
        <stp>NET_CHANGE</stp>
        <stp>EXPD</stp>
        <tr r="E174" s="1"/>
      </tp>
      <tp>
        <v>1.91</v>
        <stp/>
        <stp>NET_CHANGE</stp>
        <stp>EXPE</stp>
        <tr r="E175" s="1"/>
      </tp>
      <tp>
        <v>81.06</v>
        <stp/>
        <stp>ASK</stp>
        <stp>STJ</stp>
        <tr r="G423" s="1"/>
      </tp>
      <tp>
        <v>57.8</v>
        <stp/>
        <stp>ASK</stp>
        <stp>STI</stp>
        <tr r="G422" s="1"/>
      </tp>
      <tp>
        <v>130.03</v>
        <stp/>
        <stp>BID</stp>
        <stp>PNC</stp>
        <tr r="F372" s="1"/>
      </tp>
      <tp t="s">
        <v>instrument=CCE</v>
        <stp/>
        <stp>QUOTE_TREND</stp>
        <stp>CCE</stp>
        <tr r="D87" s="1"/>
      </tp>
      <tp>
        <v>93.55</v>
        <stp/>
        <stp>ASK</stp>
        <stp>STT</stp>
        <tr r="G424" s="1"/>
      </tp>
      <tp>
        <v>216.53</v>
        <stp/>
        <stp>ASK</stp>
        <stp>STZ</stp>
        <tr r="G426" s="1"/>
      </tp>
      <tp>
        <v>39.49</v>
        <stp/>
        <stp>ASK</stp>
        <stp>STX</stp>
        <tr r="G425" s="1"/>
      </tp>
      <tp>
        <v>0.89</v>
        <stp/>
        <stp>BID</stp>
        <stp>PNW</stp>
        <tr r="F374" s="1"/>
      </tp>
      <tp t="s">
        <v>instrument=CCL</v>
        <stp/>
        <stp>QUOTE_TREND</stp>
        <stp>CCL</stp>
        <tr r="D89" s="1"/>
      </tp>
      <tp>
        <v>55.65</v>
        <stp/>
        <stp>BID</stp>
        <stp>PNR</stp>
        <tr r="F373" s="1"/>
      </tp>
      <tp t="s">
        <v>instrument=CCI</v>
        <stp/>
        <stp>QUOTE_TREND</stp>
        <stp>CCI</stp>
        <tr r="D88" s="1"/>
      </tp>
      <tp>
        <v>27.24</v>
        <stp/>
        <stp>BID</stp>
        <stp>POM</stp>
        <tr r="F375" s="1"/>
      </tp>
      <tp t="s">
        <v>instrument=CBS</v>
        <stp/>
        <stp>QUOTE_TREND</stp>
        <stp>CBS</stp>
        <tr r="D86" s="1"/>
      </tp>
      <tp t="s">
        <v>instrument=CBG</v>
        <stp/>
        <stp>QUOTE_TREND</stp>
        <stp>CBG</stp>
        <tr r="D85" s="1"/>
      </tp>
      <tp t="s">
        <v>instrument=XL</v>
        <stp/>
        <stp>QUOTE_TREND</stp>
        <stp>XL</stp>
        <tr r="D494" s="1"/>
      </tp>
      <tp>
        <v>131.96</v>
        <stp/>
        <stp>BID</stp>
        <stp>PLL</stp>
        <tr r="F370" s="1"/>
      </tp>
      <tp t="s">
        <v>instrument=CAT</v>
        <stp/>
        <stp>QUOTE_TREND</stp>
        <stp>CAT</stp>
        <tr r="D83" s="1"/>
      </tp>
      <tp>
        <v>63.76</v>
        <stp/>
        <stp>BID</stp>
        <stp>PLD</stp>
        <tr r="F369" s="1"/>
      </tp>
      <tp t="s">
        <v>instrument=CAG</v>
        <stp/>
        <stp>QUOTE_TREND</stp>
        <stp>CAG</stp>
        <tr r="D80" s="1"/>
      </tp>
      <tp t="s">
        <v>instrument=CAM</v>
        <stp/>
        <stp>QUOTE_TREND</stp>
        <stp>CAM</stp>
        <tr r="D82" s="1"/>
      </tp>
      <tp t="s">
        <v>instrument=CAH</v>
        <stp/>
        <stp>QUOTE_TREND</stp>
        <stp>CAH</stp>
        <tr r="D81" s="1"/>
      </tp>
      <tp>
        <v>172.21</v>
        <stp/>
        <stp>ASK</stp>
        <stp>SWK</stp>
        <tr r="G427" s="1"/>
      </tp>
      <tp>
        <v>6.46</v>
        <stp/>
        <stp>ASK</stp>
        <stp>SWN</stp>
        <tr r="G428" s="1"/>
      </tp>
      <tp>
        <v>118.57</v>
        <stp/>
        <stp>ASK</stp>
        <stp>SWY</stp>
        <tr r="G429" s="1"/>
      </tp>
      <tp>
        <v>162.03</v>
        <stp/>
        <stp>ASK</stp>
        <stp>SPG</stp>
        <tr r="G418" s="1"/>
      </tp>
      <tp>
        <v>71.38</v>
        <stp/>
        <stp>BID</stp>
        <stp>PKI</stp>
        <tr r="F368" s="1"/>
      </tp>
      <tp t="s">
        <v>instrument=CFN</v>
        <stp/>
        <stp>QUOTE_TREND</stp>
        <stp>CFN</stp>
        <tr r="D93" s="1"/>
      </tp>
      <tp>
        <v>32.17</v>
        <stp/>
        <stp>BID</stp>
        <stp>PHM</stp>
        <tr r="F367" s="1"/>
      </tp>
      <tp>
        <v>119.51</v>
        <stp/>
        <stp>ASK</stp>
        <stp>SRE</stp>
        <tr r="G421" s="1"/>
      </tp>
      <tp t="s">
        <v>instrument=RF</v>
        <stp/>
        <stp>QUOTE_TREND</stp>
        <stp>RF</stp>
        <tr r="D392" s="1"/>
      </tp>
      <tp t="s">
        <v>instrument=RL</v>
        <stp/>
        <stp>QUOTE_TREND</stp>
        <stp>RL</stp>
        <tr r="D395" s="1"/>
      </tp>
      <tp>
        <v>35.29</v>
        <stp/>
        <stp>BID</stp>
        <stp>PFE</stp>
        <tr r="F362" s="1"/>
      </tp>
      <tp>
        <v>7.78</v>
        <stp/>
        <stp>BID</stp>
        <stp>PFG</stp>
        <tr r="F363" s="1"/>
      </tp>
      <tp t="s">
        <v>instrument=SE</v>
        <stp/>
        <stp>QUOTE_TREND</stp>
        <stp>SE</stp>
        <tr r="D407" s="1"/>
      </tp>
      <tp t="s">
        <v>instrument=SO</v>
        <stp/>
        <stp>QUOTE_TREND</stp>
        <stp>SO</stp>
        <tr r="D417" s="1"/>
      </tp>
      <tp>
        <v>51.48</v>
        <stp/>
        <stp>BID</stp>
        <stp>PGR</stp>
        <tr r="F365" s="1"/>
      </tp>
      <tp t="s">
        <v>instrument=PX</v>
        <stp/>
        <stp>QUOTE_TREND</stp>
        <stp>PX</stp>
        <tr r="D384" s="1"/>
      </tp>
      <tp t="s">
        <v>instrument=PG</v>
        <stp/>
        <stp>QUOTE_TREND</stp>
        <stp>PG</stp>
        <tr r="D364" s="1"/>
      </tp>
      <tp t="s">
        <v>instrument=PH</v>
        <stp/>
        <stp>QUOTE_TREND</stp>
        <stp>PH</stp>
        <tr r="D366" s="1"/>
      </tp>
      <tp t="s">
        <v>instrument=PM</v>
        <stp/>
        <stp>QUOTE_TREND</stp>
        <stp>PM</stp>
        <tr r="D371" s="1"/>
      </tp>
      <tp>
        <v>51.38</v>
        <stp/>
        <stp>BID</stp>
        <stp>PEG</stp>
        <tr r="F359" s="1"/>
      </tp>
      <tp>
        <v>114.28</v>
        <stp/>
        <stp>BID</stp>
        <stp>PEP</stp>
        <tr r="F360" s="1"/>
      </tp>
      <tp t="s">
        <v>instrument=CHK</v>
        <stp/>
        <stp>QUOTE_TREND</stp>
        <stp>CHK</stp>
        <tr r="D94" s="1"/>
      </tp>
      <tp t="s">
        <v>instrument=VZ</v>
        <stp/>
        <stp>QUOTE_TREND</stp>
        <stp>VZ</stp>
        <tr r="D473" s="1"/>
      </tp>
      <tp t="s">
        <v>instrument=COV</v>
        <stp/>
        <stp>QUOTE_TREND</stp>
        <stp>COV</stp>
        <tr r="D115" s="1"/>
      </tp>
      <tp>
        <v>9.93</v>
        <stp/>
        <stp>BID</stp>
        <stp>PBI</stp>
        <tr r="F352" s="1"/>
      </tp>
      <tp t="s">
        <v>instrument=COP</v>
        <stp/>
        <stp>QUOTE_TREND</stp>
        <stp>COP</stp>
        <tr r="D113" s="1"/>
      </tp>
      <tp t="s">
        <v>instrument=COF</v>
        <stp/>
        <stp>QUOTE_TREND</stp>
        <stp>COF</stp>
        <tr r="D109" s="1"/>
      </tp>
      <tp t="s">
        <v>instrument=COG</v>
        <stp/>
        <stp>QUOTE_TREND</stp>
        <stp>COG</stp>
        <tr r="D110" s="1"/>
      </tp>
      <tp t="s">
        <v>instrument=COL</v>
        <stp/>
        <stp>QUOTE_TREND</stp>
        <stp>COL</stp>
        <tr r="D112" s="1"/>
      </tp>
      <tp t="s">
        <v>instrument=COH</v>
        <stp/>
        <stp>QUOTE_TREND</stp>
        <stp>COH</stp>
        <tr r="D111" s="1"/>
      </tp>
      <tp t="s">
        <v>instrument=WU</v>
        <stp/>
        <stp>QUOTE_TREND</stp>
        <stp>WU</stp>
        <tr r="D488" s="1"/>
      </tp>
      <tp t="s">
        <v>instrument=WY</v>
        <stp/>
        <stp>QUOTE_TREND</stp>
        <stp>WY</stp>
        <tr r="D489" s="1"/>
      </tp>
      <tp t="s">
        <v>instrument=WM</v>
        <stp/>
        <stp>QUOTE_TREND</stp>
        <stp>WM</stp>
        <tr r="D483" s="1"/>
      </tp>
      <tp>
        <v>35.1</v>
        <stp/>
        <stp>BID</stp>
        <stp>PCL</stp>
        <tr r="F355" s="1"/>
      </tp>
      <tp t="s">
        <v>instrument=CNP</v>
        <stp/>
        <stp>QUOTE_TREND</stp>
        <stp>CNP</stp>
        <tr r="D107" s="1"/>
      </tp>
      <tp>
        <v>164.34</v>
        <stp/>
        <stp>ASK</stp>
        <stp>SYK</stp>
        <tr r="G430" s="1"/>
      </tp>
      <tp>
        <v>54.01</v>
        <stp/>
        <stp>BID</stp>
        <stp>PCG</stp>
        <tr r="F354" s="1"/>
      </tp>
      <tp t="s">
        <v>instrument=CNX</v>
        <stp/>
        <stp>QUOTE_TREND</stp>
        <stp>CNX</stp>
        <tr r="D108" s="1"/>
      </tp>
      <tp>
        <v>54.94</v>
        <stp/>
        <stp>ASK</stp>
        <stp>SYY</stp>
        <tr r="G432" s="1"/>
      </tp>
      <tp>
        <v>234.97</v>
        <stp/>
        <stp>BID</stp>
        <stp>PCP</stp>
        <tr r="F357" s="1"/>
      </tp>
      <tp t="s">
        <v>instrument=TE</v>
        <stp/>
        <stp>QUOTE_TREND</stp>
        <stp>TE</stp>
        <tr r="D436" s="1"/>
      </tp>
      <tp t="s">
        <v>instrument=CMS</v>
        <stp/>
        <stp>QUOTE_TREND</stp>
        <stp>CMS</stp>
        <tr r="D106" s="1"/>
      </tp>
      <tp t="s">
        <v>instrument=CMG</v>
        <stp/>
        <stp>QUOTE_TREND</stp>
        <stp>CMG</stp>
        <tr r="D104" s="1"/>
      </tp>
      <tp t="s">
        <v>instrument=CME</v>
        <stp/>
        <stp>QUOTE_TREND</stp>
        <stp>CME</stp>
        <tr r="D103" s="1"/>
      </tp>
      <tp t="s">
        <v>instrument=CMA</v>
        <stp/>
        <stp>QUOTE_TREND</stp>
        <stp>CMA</stp>
        <tr r="D101" s="1"/>
      </tp>
      <tp t="s">
        <v>instrument=CMI</v>
        <stp/>
        <stp>QUOTE_TREND</stp>
        <stp>CMI</stp>
        <tr r="D105" s="1"/>
      </tp>
      <tp t="s">
        <v>instrument=CLX</v>
        <stp/>
        <stp>QUOTE_TREND</stp>
        <stp>CLX</stp>
        <tr r="D100" s="1"/>
      </tp>
      <tp t="s">
        <v>instrument=CLF</v>
        <stp/>
        <stp>QUOTE_TREND</stp>
        <stp>CLF</stp>
        <tr r="D99" s="1"/>
      </tp>
      <tp>
        <v>30.59</v>
        <stp/>
        <stp>Mark</stp>
        <stp>TRIP</stp>
        <tr r="P446" s="1"/>
      </tp>
      <tp>
        <v>0</v>
        <stp/>
        <stp>HIGH</stp>
        <stp>WLP</stp>
        <tr r="L482" s="1"/>
      </tp>
      <tp>
        <v>27.35</v>
        <stp/>
        <stp>HIGH</stp>
        <stp>WMB</stp>
        <tr r="L484" s="1"/>
      </tp>
      <tp>
        <v>299.57</v>
        <stp/>
        <stp>OPEN</stp>
        <stp>NOC</stp>
        <tr r="K332" s="1"/>
      </tp>
      <tp>
        <v>31.57</v>
        <stp/>
        <stp>OPEN</stp>
        <stp>NOV</stp>
        <tr r="K333" s="1"/>
      </tp>
      <tp>
        <v>100.13</v>
        <stp/>
        <stp>HIGH</stp>
        <stp>WMT</stp>
        <tr r="L485" s="1"/>
      </tp>
      <tp>
        <v>56.54</v>
        <stp/>
        <stp>ASK</stp>
        <stp>AMAT</stp>
        <tr r="G32" s="1"/>
      </tp>
      <tp>
        <v>61.94</v>
        <stp/>
        <stp>Last</stp>
        <stp>ESRX</stp>
        <tr r="B167" s="1"/>
      </tp>
      <tp>
        <v>392.48</v>
        <stp/>
        <stp>Last</stp>
        <stp>ISRG</stp>
        <tr r="B245" s="1"/>
      </tp>
      <tp>
        <v>61.45</v>
        <stp/>
        <stp>Mark</stp>
        <stp>GRMN</stp>
        <tr r="P208" s="1"/>
      </tp>
      <tp>
        <v>220.49</v>
        <stp/>
        <stp>Mark</stp>
        <stp>ORLY</stp>
        <tr r="P348" s="1"/>
      </tp>
      <tp>
        <v>170.05</v>
        <stp/>
        <stp>ASK</stp>
        <stp>AMGN</stp>
        <tr r="G34" s="1"/>
      </tp>
      <tp>
        <v>95.98</v>
        <stp/>
        <stp>Mark</stp>
        <stp>TROW</stp>
        <tr r="P447" s="1"/>
      </tp>
      <tp>
        <v>166.08</v>
        <stp/>
        <stp>HIGH</stp>
        <stp>WHR</stp>
        <tr r="L480" s="1"/>
      </tp>
      <tp>
        <v>2.29</v>
        <stp/>
        <stp>HIGH</stp>
        <stp>WIN</stp>
        <tr r="L481" s="1"/>
      </tp>
      <tp>
        <v>58.54</v>
        <stp/>
        <stp>OPEN</stp>
        <stp>NKE</stp>
        <tr r="K331" s="1"/>
      </tp>
      <tp>
        <v>0</v>
        <stp/>
        <stp>HIGH</stp>
        <stp>WFM</stp>
        <tr r="L479" s="1"/>
      </tp>
      <tp>
        <v>54.46</v>
        <stp/>
        <stp>HIGH</stp>
        <stp>WFC</stp>
        <tr r="L478" s="1"/>
      </tp>
      <tp>
        <v>67.55</v>
        <stp/>
        <stp>Mark</stp>
        <stp>XRAY</stp>
        <tr r="P497" s="1"/>
      </tp>
      <tp>
        <v>36.130000000000003</v>
        <stp/>
        <stp>OPEN</stp>
        <stp>NEM</stp>
        <tr r="K327" s="1"/>
      </tp>
      <tp>
        <v>157</v>
        <stp/>
        <stp>OPEN</stp>
        <stp>NEE</stp>
        <tr r="K326" s="1"/>
      </tp>
      <tp>
        <v>91.635000000000005</v>
        <stp/>
        <stp>HIGH</stp>
        <stp>WDC</stp>
        <tr r="L476" s="1"/>
      </tp>
      <tp>
        <v>210.56</v>
        <stp/>
        <stp>Mark</stp>
        <stp>LRCX</stp>
        <tr r="P282" s="1"/>
      </tp>
      <tp>
        <v>29.74</v>
        <stp/>
        <stp>OPEN</stp>
        <stp>NFX</stp>
        <tr r="K329" s="1"/>
      </tp>
      <tp>
        <v>62.76</v>
        <stp/>
        <stp>Mark</stp>
        <stp>SRCL</stp>
        <tr r="P420" s="1"/>
      </tp>
      <tp>
        <v>48.94</v>
        <stp/>
        <stp>Mark</stp>
        <stp>ORCL</stp>
        <tr r="P347" s="1"/>
      </tp>
      <tp>
        <v>54.3</v>
        <stp/>
        <stp>Mark</stp>
        <stp>BRCM</stp>
        <tr r="P72" s="1"/>
      </tp>
      <tp>
        <v>68.849999999999994</v>
        <stp/>
        <stp>HIGH</stp>
        <stp>WEC</stp>
        <tr r="L477" s="1"/>
      </tp>
      <tp>
        <v>27.9</v>
        <stp/>
        <stp>Mark</stp>
        <stp>URBN</stp>
        <tr r="P461" s="1"/>
      </tp>
      <tp>
        <v>47.01</v>
        <stp/>
        <stp>52LOW</stp>
        <stp>CERN</stp>
        <tr r="O91" s="1"/>
      </tp>
      <tp t="s">
        <v>N/A</v>
        <stp/>
        <stp>52LOW</stp>
        <stp>PETM</stp>
        <tr r="O361" s="1"/>
      </tp>
      <tp>
        <v>25.92</v>
        <stp/>
        <stp>OPEN</stp>
        <stp>NBL</stp>
        <tr r="K322" s="1"/>
      </tp>
      <tp>
        <v>85.89</v>
        <stp/>
        <stp>Mark</stp>
        <stp>PRGO</stp>
        <tr r="P378" s="1"/>
      </tp>
      <tp>
        <v>5.78</v>
        <stp/>
        <stp>OPEN</stp>
        <stp>NBR</stp>
        <tr r="K323" s="1"/>
      </tp>
      <tp>
        <v>87</v>
        <stp/>
        <stp>Mark</stp>
        <stp>KRFT</stp>
        <tr r="P267" s="1"/>
      </tp>
      <tp>
        <v>0</v>
        <stp/>
        <stp>HIGH</stp>
        <stp>WAG</stp>
        <tr r="L474" s="1"/>
      </tp>
      <tp>
        <v>199.15</v>
        <stp/>
        <stp>HIGH</stp>
        <stp>WAT</stp>
        <tr r="L475" s="1"/>
      </tp>
      <tp>
        <v>82.4</v>
        <stp/>
        <stp>Last</stp>
        <stp>MSFT</stp>
        <tr r="B315" s="1"/>
      </tp>
      <tp t="s">
        <v>N/A</v>
        <stp/>
        <stp>OPEN</stp>
        <stp>NYX</stp>
        <tr r="K343" s="1"/>
      </tp>
      <tp>
        <v>35.9</v>
        <stp/>
        <stp>Last</stp>
        <stp>CSCO</stp>
        <tr r="B119" s="1"/>
      </tp>
      <tp>
        <v>94.551299999999998</v>
        <stp/>
        <stp>52LOW</stp>
        <stp>CELG</stp>
        <tr r="O90" s="1"/>
      </tp>
      <tp t="s">
        <v>N/A</v>
        <stp/>
        <stp>52LOW</stp>
        <stp>DELL</stp>
        <tr r="O131" s="1"/>
      </tp>
      <tp>
        <v>109.27</v>
        <stp/>
        <stp>HIGH</stp>
        <stp>WYN</stp>
        <tr r="L490" s="1"/>
      </tp>
      <tp>
        <v>1129.3699999999999</v>
        <stp/>
        <stp>ASK</stp>
        <stp>AMZN</stp>
        <tr r="G37" s="1"/>
      </tp>
      <tp t="s">
        <v>N/A</v>
        <stp/>
        <stp>52LOW</stp>
        <stp>BEAM</stp>
        <tr r="O61" s="1"/>
      </tp>
      <tp>
        <v>54.5</v>
        <stp/>
        <stp>OPEN</stp>
        <stp>NUE</stp>
        <tr r="K339" s="1"/>
      </tp>
      <tp>
        <v>60.18</v>
        <stp/>
        <stp>Last</stp>
        <stp>FSLR</stp>
        <tr r="B193" s="1"/>
      </tp>
      <tp>
        <v>113.75</v>
        <stp/>
        <stp>Mark</stp>
        <stp>VRSN</stp>
        <tr r="P471" s="1"/>
      </tp>
      <tp>
        <v>28.15</v>
        <stp/>
        <stp>OPEN</stp>
        <stp>NWL</stp>
        <tr r="K341" s="1"/>
      </tp>
      <tp t="s">
        <v>N/A</v>
        <stp/>
        <stp>HIGH</stp>
        <stp>WPO</stp>
        <tr r="L486" s="1"/>
      </tp>
      <tp>
        <v>29.4</v>
        <stp/>
        <stp>OPEN</stp>
        <stp>NRG</stp>
        <tr r="K334" s="1"/>
      </tp>
      <tp>
        <v>12.36</v>
        <stp/>
        <stp>HIGH</stp>
        <stp>WPX</stp>
        <tr r="L487" s="1"/>
      </tp>
      <tp>
        <v>15.81</v>
        <stp/>
        <stp>BID</stp>
        <stp>NWSA</stp>
        <tr r="F342" s="1"/>
      </tp>
      <tp>
        <v>340.09</v>
        <stp/>
        <stp>52LOW</stp>
        <stp>REGN</stp>
        <tr r="O391" s="1"/>
      </tp>
      <tp>
        <v>128.4</v>
        <stp/>
        <stp>OPEN</stp>
        <stp>NSC</stp>
        <tr r="K335" s="1"/>
      </tp>
      <tp t="s">
        <v>Range Bound</v>
        <stp/>
        <stp>STRENGTH_METER</stp>
        <stp>XYL</stp>
        <tr r="C499" s="1"/>
      </tp>
      <tp t="s">
        <v>Downtrend</v>
        <stp/>
        <stp>STRENGTH_METER</stp>
        <stp>XRX</stp>
        <tr r="C498" s="1"/>
      </tp>
      <tp t="s">
        <v>Range Bound</v>
        <stp/>
        <stp>STRENGTH_METER</stp>
        <stp>XOM</stp>
        <tr r="C496" s="1"/>
      </tp>
      <tp t="s">
        <v>Range Bound</v>
        <stp/>
        <stp>STRENGTH_METER</stp>
        <stp>XEL</stp>
        <tr r="C493" s="1"/>
      </tp>
      <tp>
        <v>51.52</v>
        <stp/>
        <stp>ASK</stp>
        <stp>PEG</stp>
        <tr r="G359" s="1"/>
      </tp>
      <tp>
        <v>114.75</v>
        <stp/>
        <stp>ASK</stp>
        <stp>PEP</stp>
        <tr r="G360" s="1"/>
      </tp>
      <tp>
        <v>74.989999999999995</v>
        <stp/>
        <stp>ASK</stp>
        <stp>PFG</stp>
        <tr r="G363" s="1"/>
      </tp>
      <tp>
        <v>35.4</v>
        <stp/>
        <stp>ASK</stp>
        <stp>PFE</stp>
        <tr r="G362" s="1"/>
      </tp>
      <tp>
        <v>51.61</v>
        <stp/>
        <stp>ASK</stp>
        <stp>PGR</stp>
        <tr r="G365" s="1"/>
      </tp>
      <tp>
        <v>9.9499999999999993</v>
        <stp/>
        <stp>ASK</stp>
        <stp>PBI</stp>
        <tr r="G352" s="1"/>
      </tp>
      <tp>
        <v>54.69</v>
        <stp/>
        <stp>ASK</stp>
        <stp>PCG</stp>
        <tr r="G354" s="1"/>
      </tp>
      <tp>
        <v>149.75</v>
        <stp/>
        <stp>BID</stp>
        <stp>SYK</stp>
        <tr r="F430" s="1"/>
      </tp>
      <tp>
        <v>39.299999999999997</v>
        <stp/>
        <stp>ASK</stp>
        <stp>PCL</stp>
        <tr r="G355" s="1"/>
      </tp>
      <tp>
        <v>235.08</v>
        <stp/>
        <stp>ASK</stp>
        <stp>PCP</stp>
        <tr r="G357" s="1"/>
      </tp>
      <tp>
        <v>52.98</v>
        <stp/>
        <stp>BID</stp>
        <stp>SYY</stp>
        <tr r="F432" s="1"/>
      </tp>
      <tp>
        <v>67.290000000000006</v>
        <stp/>
        <stp>ASK</stp>
        <stp>PLD</stp>
        <tr r="G369" s="1"/>
      </tp>
      <tp>
        <v>120.63</v>
        <stp/>
        <stp>ASK</stp>
        <stp>PLL</stp>
        <tr r="G370" s="1"/>
      </tp>
      <tp>
        <v>6.45</v>
        <stp/>
        <stp>BID</stp>
        <stp>SWN</stp>
        <tr r="F428" s="1"/>
      </tp>
      <tp>
        <v>160.27000000000001</v>
        <stp/>
        <stp>BID</stp>
        <stp>SWK</stp>
        <tr r="F427" s="1"/>
      </tp>
      <tp>
        <v>127.84</v>
        <stp/>
        <stp>BID</stp>
        <stp>SWY</stp>
        <tr r="F429" s="1"/>
      </tp>
      <tp>
        <v>132.88999999999999</v>
        <stp/>
        <stp>ASK</stp>
        <stp>PNC</stp>
        <tr r="G372" s="1"/>
      </tp>
      <tp>
        <v>57.57</v>
        <stp/>
        <stp>BID</stp>
        <stp>STI</stp>
        <tr r="F422" s="1"/>
      </tp>
      <tp>
        <v>80.98</v>
        <stp/>
        <stp>BID</stp>
        <stp>STJ</stp>
        <tr r="F423" s="1"/>
      </tp>
      <tp>
        <v>70.11</v>
        <stp/>
        <stp>ASK</stp>
        <stp>PNR</stp>
        <tr r="G373" s="1"/>
      </tp>
      <tp>
        <v>95.9</v>
        <stp/>
        <stp>ASK</stp>
        <stp>PNW</stp>
        <tr r="G374" s="1"/>
      </tp>
      <tp>
        <v>39.29</v>
        <stp/>
        <stp>BID</stp>
        <stp>STX</stp>
        <tr r="F425" s="1"/>
      </tp>
      <tp>
        <v>215.01</v>
        <stp/>
        <stp>BID</stp>
        <stp>STZ</stp>
        <tr r="F426" s="1"/>
      </tp>
      <tp>
        <v>75</v>
        <stp/>
        <stp>BID</stp>
        <stp>STT</stp>
        <tr r="F424" s="1"/>
      </tp>
      <tp>
        <v>27.25</v>
        <stp/>
        <stp>ASK</stp>
        <stp>POM</stp>
        <tr r="G375" s="1"/>
      </tp>
      <tp>
        <v>119.55</v>
        <stp/>
        <stp>BID</stp>
        <stp>SRE</stp>
        <tr r="F421" s="1"/>
      </tp>
      <tp>
        <v>32.28</v>
        <stp/>
        <stp>ASK</stp>
        <stp>PHM</stp>
        <tr r="G367" s="1"/>
      </tp>
      <tp>
        <v>157.91</v>
        <stp/>
        <stp>BID</stp>
        <stp>SPG</stp>
        <tr r="F418" s="1"/>
      </tp>
      <tp>
        <v>74.25</v>
        <stp/>
        <stp>ASK</stp>
        <stp>PKI</stp>
        <tr r="G368" s="1"/>
      </tp>
      <tp>
        <v>76.680000000000007</v>
        <stp/>
        <stp>BID</stp>
        <stp>SNI</stp>
        <tr r="F416" s="1"/>
      </tp>
      <tp>
        <v>148.04</v>
        <stp/>
        <stp>BID</stp>
        <stp>SNA</stp>
        <tr r="F414" s="1"/>
      </tp>
      <tp>
        <v>10</v>
        <stp/>
        <stp>BID</stp>
        <stp>SLM</stp>
        <tr r="F413" s="1"/>
      </tp>
      <tp>
        <v>141.1</v>
        <stp/>
        <stp>ASK</stp>
        <stp>PVH</stp>
        <tr r="G382" s="1"/>
      </tp>
      <tp>
        <v>61.85</v>
        <stp/>
        <stp>BID</stp>
        <stp>SLB</stp>
        <tr r="F412" s="1"/>
      </tp>
      <tp>
        <v>36.67</v>
        <stp/>
        <stp>ASK</stp>
        <stp>PWR</stp>
        <tr r="G383" s="1"/>
      </tp>
      <tp>
        <v>112.56</v>
        <stp/>
        <stp>BID</stp>
        <stp>SJM</stp>
        <tr r="F411" s="1"/>
      </tp>
      <tp>
        <v>115.09</v>
        <stp/>
        <stp>ASK</stp>
        <stp>PPG</stp>
        <tr r="G376" s="1"/>
      </tp>
      <tp>
        <v>36.229999999999997</v>
        <stp/>
        <stp>ASK</stp>
        <stp>PPL</stp>
        <tr r="G377" s="1"/>
      </tp>
      <tp>
        <v>111.32</v>
        <stp/>
        <stp>ASK</stp>
        <stp>PRU</stp>
        <tr r="G379" s="1"/>
      </tp>
      <tp>
        <v>318.3</v>
        <stp/>
        <stp>BID</stp>
        <stp>SHW</stp>
        <tr r="F409" s="1"/>
      </tp>
      <tp>
        <v>232</v>
        <stp/>
        <stp>ASK</stp>
        <stp>PSA</stp>
        <tr r="G380" s="1"/>
      </tp>
      <tp>
        <v>93.57</v>
        <stp/>
        <stp>ASK</stp>
        <stp>PSX</stp>
        <tr r="G381" s="1"/>
      </tp>
      <tp>
        <v>45.59</v>
        <stp/>
        <stp>BID</stp>
        <stp>SEE</stp>
        <tr r="F408" s="1"/>
      </tp>
      <tp>
        <v>155.28</v>
        <stp/>
        <stp>ASK</stp>
        <stp>PXD</stp>
        <tr r="G385" s="1"/>
      </tp>
      <tp>
        <v>43.05</v>
        <stp/>
        <stp>BID</stp>
        <stp>SCG</stp>
        <tr r="F405" s="1"/>
      </tp>
      <tp t="s">
        <v>N/A</v>
        <stp/>
        <stp>BID</stp>
        <stp>SAI</stp>
        <tr r="F403" s="1"/>
      </tp>
      <tp>
        <v>228.43</v>
        <stp/>
        <stp>OPEN</stp>
        <stp>MMM</stp>
        <tr r="K305" s="1"/>
      </tp>
      <tp>
        <v>82.63</v>
        <stp/>
        <stp>OPEN</stp>
        <stp>MMC</stp>
        <tr r="K304" s="1"/>
      </tp>
      <tp>
        <v>8.1999999999999993</v>
        <stp/>
        <stp>52HIGH</stp>
        <stp>CHK</stp>
        <tr r="N94" s="1"/>
      </tp>
      <tp>
        <v>85.72</v>
        <stp/>
        <stp>HIGH</stp>
        <stp>TMK</stp>
        <tr r="L444" s="1"/>
      </tp>
      <tp>
        <v>118.33</v>
        <stp/>
        <stp>OPEN</stp>
        <stp>MON</stp>
        <tr r="K309" s="1"/>
      </tp>
      <tp>
        <v>191.58</v>
        <stp/>
        <stp>HIGH</stp>
        <stp>TMO</stp>
        <tr r="L445" s="1"/>
      </tp>
      <tp>
        <v>22.44</v>
        <stp/>
        <stp>OPEN</stp>
        <stp>MOS</stp>
        <tr r="K310" s="1"/>
      </tp>
      <tp>
        <v>71.36</v>
        <stp/>
        <stp>HIGH</stp>
        <stp>TJX</stp>
        <tr r="L443" s="1"/>
      </tp>
      <tp t="s">
        <v>N/A</v>
        <stp/>
        <stp>OPEN</stp>
        <stp>MHP</stp>
        <tr r="K301" s="1"/>
      </tp>
      <tp>
        <v>181.7901</v>
        <stp/>
        <stp>52HIGH</stp>
        <stp>CMI</stp>
        <tr r="N105" s="1"/>
      </tp>
      <tp>
        <v>141.44</v>
        <stp/>
        <stp>52HIGH</stp>
        <stp>CME</stp>
        <tr r="N103" s="1"/>
      </tp>
      <tp>
        <v>499</v>
        <stp/>
        <stp>52HIGH</stp>
        <stp>CMG</stp>
        <tr r="N104" s="1"/>
      </tp>
      <tp>
        <v>80.25</v>
        <stp/>
        <stp>52HIGH</stp>
        <stp>CMA</stp>
        <tr r="N101" s="1"/>
      </tp>
      <tp>
        <v>50.85</v>
        <stp/>
        <stp>52HIGH</stp>
        <stp>CMS</stp>
        <tr r="N106" s="1"/>
      </tp>
      <tp>
        <v>12.37</v>
        <stp/>
        <stp>52HIGH</stp>
        <stp>CLF</stp>
        <tr r="N99" s="1"/>
      </tp>
      <tp>
        <v>141.76</v>
        <stp/>
        <stp>52HIGH</stp>
        <stp>CLX</stp>
        <tr r="N100" s="1"/>
      </tp>
      <tp>
        <v>0</v>
        <stp/>
        <stp>OPEN</stp>
        <stp>MJN</stp>
        <tr r="K302" s="1"/>
      </tp>
      <tp>
        <v>13.67</v>
        <stp/>
        <stp>HIGH</stp>
        <stp>THC</stp>
        <tr r="L441" s="1"/>
      </tp>
      <tp>
        <v>136.5</v>
        <stp/>
        <stp>52HIGH</stp>
        <stp>COL</stp>
        <tr r="N112" s="1"/>
      </tp>
      <tp>
        <v>48.85</v>
        <stp/>
        <stp>52HIGH</stp>
        <stp>COH</stp>
        <tr r="N111" s="1"/>
      </tp>
      <tp>
        <v>29.26</v>
        <stp/>
        <stp>52HIGH</stp>
        <stp>COG</stp>
        <tr r="N110" s="1"/>
      </tp>
      <tp>
        <v>96.92</v>
        <stp/>
        <stp>52HIGH</stp>
        <stp>COF</stp>
        <tr r="N109" s="1"/>
      </tp>
      <tp t="s">
        <v>N/A</v>
        <stp/>
        <stp>52HIGH</stp>
        <stp>COV</stp>
        <tr r="N115" s="1"/>
      </tp>
      <tp>
        <v>54.22</v>
        <stp/>
        <stp>52HIGH</stp>
        <stp>COP</stp>
        <tr r="N113" s="1"/>
      </tp>
      <tp>
        <v>76.75</v>
        <stp/>
        <stp>ASK</stp>
        <stp>SNDK</stp>
        <tr r="G415" s="1"/>
      </tp>
      <tp>
        <v>95.35</v>
        <stp/>
        <stp>HIGH</stp>
        <stp>TIF</stp>
        <tr r="L442" s="1"/>
      </tp>
      <tp>
        <v>99.06</v>
        <stp/>
        <stp>OPEN</stp>
        <stp>MKC</stp>
        <tr r="K303" s="1"/>
      </tp>
      <tp>
        <v>22.34</v>
        <stp/>
        <stp>52HIGH</stp>
        <stp>CNX</stp>
        <tr r="N108" s="1"/>
      </tp>
      <tp>
        <v>30.45</v>
        <stp/>
        <stp>52HIGH</stp>
        <stp>CNP</stp>
        <tr r="N107" s="1"/>
      </tp>
      <tp>
        <v>78.83</v>
        <stp/>
        <stp>OPEN</stp>
        <stp>MDT</stp>
        <tr r="K299" s="1"/>
      </tp>
      <tp>
        <v>71.22</v>
        <stp/>
        <stp>52HIGH</stp>
        <stp>CAM</stp>
        <tr r="N82" s="1"/>
      </tp>
      <tp>
        <v>84.88</v>
        <stp/>
        <stp>52HIGH</stp>
        <stp>CAH</stp>
        <tr r="N81" s="1"/>
      </tp>
      <tp>
        <v>41.68</v>
        <stp/>
        <stp>52HIGH</stp>
        <stp>CAG</stp>
        <tr r="N80" s="1"/>
      </tp>
      <tp>
        <v>140.43899999999999</v>
        <stp/>
        <stp>52HIGH</stp>
        <stp>CAT</stp>
        <tr r="N83" s="1"/>
      </tp>
      <tp>
        <v>51.3</v>
        <stp/>
        <stp>OPEN</stp>
        <stp>MET</stp>
        <tr r="K300" s="1"/>
      </tp>
      <tp>
        <v>58.74</v>
        <stp/>
        <stp>HIGH</stp>
        <stp>TGT</stp>
        <tr r="L440" s="1"/>
      </tp>
      <tp>
        <v>36.06</v>
        <stp/>
        <stp>HIGH</stp>
        <stp>TDC</stp>
        <tr r="L435" s="1"/>
      </tp>
      <tp>
        <v>69.89</v>
        <stp/>
        <stp>52HIGH</stp>
        <stp>CCL</stp>
        <tr r="N89" s="1"/>
      </tp>
      <tp>
        <v>114.97</v>
        <stp/>
        <stp>52HIGH</stp>
        <stp>CCI</stp>
        <tr r="N88" s="1"/>
      </tp>
      <tp>
        <v>44.75</v>
        <stp/>
        <stp>52HIGH</stp>
        <stp>CCE</stp>
        <tr r="N87" s="1"/>
      </tp>
      <tp>
        <v>95.37</v>
        <stp/>
        <stp>HIGH</stp>
        <stp>TEL</stp>
        <tr r="L438" s="1"/>
      </tp>
      <tp>
        <v>0</v>
        <stp/>
        <stp>HIGH</stp>
        <stp>TEG</stp>
        <tr r="L437" s="1"/>
      </tp>
      <tp>
        <v>44.29</v>
        <stp/>
        <stp>HIGH</stp>
        <stp>TER</stp>
        <tr r="L439" s="1"/>
      </tp>
      <tp>
        <v>43.35</v>
        <stp/>
        <stp>52HIGH</stp>
        <stp>CBG</stp>
        <tr r="N85" s="1"/>
      </tp>
      <tp>
        <v>70.094999999999999</v>
        <stp/>
        <stp>52HIGH</stp>
        <stp>CBS</stp>
        <tr r="N86" s="1"/>
      </tp>
      <tp>
        <v>42.67</v>
        <stp/>
        <stp>BID</stp>
        <stp>ETFC</stp>
        <tr r="F169" s="1"/>
      </tp>
      <tp>
        <v>52.5</v>
        <stp/>
        <stp>BID</stp>
        <stp>NTAP</stp>
        <tr r="F336" s="1"/>
      </tp>
      <tp>
        <v>143.97</v>
        <stp/>
        <stp>BID</stp>
        <stp>CTAS</stp>
        <tr r="F121" s="1"/>
      </tp>
      <tp>
        <v>64.72</v>
        <stp/>
        <stp>OPEN</stp>
        <stp>MAC</stp>
        <tr r="K290" s="1"/>
      </tp>
      <tp>
        <v>18.18</v>
        <stp/>
        <stp>OPEN</stp>
        <stp>MAT</stp>
        <tr r="K293" s="1"/>
      </tp>
      <tp>
        <v>123.98</v>
        <stp/>
        <stp>OPEN</stp>
        <stp>MAR</stp>
        <tr r="K291" s="1"/>
      </tp>
      <tp>
        <v>38.99</v>
        <stp/>
        <stp>OPEN</stp>
        <stp>MAS</stp>
        <tr r="K292" s="1"/>
      </tp>
      <tp>
        <v>112.6</v>
        <stp/>
        <stp>LOW</stp>
        <stp>VRSN</stp>
        <tr r="M471" s="1"/>
      </tp>
      <tp>
        <v>144.66999999999999</v>
        <stp/>
        <stp>OPEN</stp>
        <stp>MCO</stp>
        <tr r="K297" s="1"/>
      </tp>
      <tp>
        <v>141.71</v>
        <stp/>
        <stp>OPEN</stp>
        <stp>MCK</stp>
        <tr r="K296" s="1"/>
      </tp>
      <tp>
        <v>167.54</v>
        <stp/>
        <stp>OPEN</stp>
        <stp>MCD</stp>
        <tr r="K294" s="1"/>
      </tp>
      <tp>
        <v>79.97</v>
        <stp/>
        <stp>HIGH</stp>
        <stp>TAP</stp>
        <tr r="L434" s="1"/>
      </tp>
      <tp t="s">
        <v>N/A</v>
        <stp/>
        <stp>52HIGH</stp>
        <stp>CFN</stp>
        <tr r="N93" s="1"/>
      </tp>
      <tp>
        <v>114.63</v>
        <stp/>
        <stp>52LOW</stp>
        <stp>FFIV</stp>
        <tr r="O182" s="1"/>
      </tp>
      <tp>
        <v>64.989999999999995</v>
        <stp/>
        <stp>ASK</stp>
        <stp>MNST</stp>
        <tr r="G306" s="1"/>
      </tp>
      <tp>
        <v>95.24</v>
        <stp/>
        <stp>LOW</stp>
        <stp>TROW</stp>
        <tr r="M447" s="1"/>
      </tp>
      <tp>
        <v>26.3</v>
        <stp/>
        <stp>ASK</stp>
        <stp>JNPR</stp>
        <tr r="G254" s="1"/>
      </tp>
      <tp>
        <v>216.1</v>
        <stp/>
        <stp>LOW</stp>
        <stp>ORLY</stp>
        <tr r="M348" s="1"/>
      </tp>
      <tp>
        <v>60.612499999999997</v>
        <stp/>
        <stp>LOW</stp>
        <stp>GRMN</stp>
        <tr r="M208" s="1"/>
      </tp>
      <tp>
        <v>37.43</v>
        <stp/>
        <stp>OPEN</stp>
        <stp>MYL</stp>
        <tr r="K321" s="1"/>
      </tp>
      <tp>
        <v>84.53</v>
        <stp/>
        <stp>BID</stp>
        <stp>CTXS</stp>
        <tr r="F124" s="1"/>
      </tp>
      <tp>
        <v>111.81</v>
        <stp/>
        <stp>52LOW</stp>
        <stp>NFLX</stp>
        <tr r="O328" s="1"/>
      </tp>
      <tp>
        <v>98.56</v>
        <stp/>
        <stp>HIGH</stp>
        <stp>TXN</stp>
        <tr r="L454" s="1"/>
      </tp>
      <tp>
        <v>53.53</v>
        <stp/>
        <stp>HIGH</stp>
        <stp>TXT</stp>
        <tr r="L455" s="1"/>
      </tp>
      <tp>
        <v>44.69</v>
        <stp/>
        <stp>ASK</stp>
        <stp>INTC</stp>
        <tr r="G239" s="1"/>
      </tp>
      <tp>
        <v>156.69</v>
        <stp/>
        <stp>ASK</stp>
        <stp>INTU</stp>
        <tr r="G240" s="1"/>
      </tp>
      <tp>
        <v>0</v>
        <stp/>
        <stp>HIGH</stp>
        <stp>TYC</stp>
        <tr r="L456" s="1"/>
      </tp>
      <tp>
        <v>29.82</v>
        <stp/>
        <stp>LOW</stp>
        <stp>TRIP</stp>
        <tr r="M446" s="1"/>
      </tp>
      <tp>
        <v>158.94</v>
        <stp/>
        <stp>OPEN</stp>
        <stp>MTB</stp>
        <tr r="K317" s="1"/>
      </tp>
      <tp t="s">
        <v>instrument=WYNN</v>
        <stp/>
        <stp>QUOTE_TREND</stp>
        <stp>WYNN</stp>
        <tr r="D491" s="1"/>
      </tp>
      <tp>
        <v>0</v>
        <stp/>
        <stp>LOW</stp>
        <stp>KRFT</stp>
        <tr r="M267" s="1"/>
      </tp>
      <tp>
        <v>0</v>
        <stp/>
        <stp>HIGH</stp>
        <stp>TWC</stp>
        <tr r="L452" s="1"/>
      </tp>
      <tp>
        <v>89.105000000000004</v>
        <stp/>
        <stp>HIGH</stp>
        <stp>TWX</stp>
        <tr r="L453" s="1"/>
      </tp>
      <tp>
        <v>27.89</v>
        <stp/>
        <stp>OPEN</stp>
        <stp>MUR</stp>
        <tr r="K319" s="1"/>
      </tp>
      <tp>
        <v>0</v>
        <stp/>
        <stp>Last</stp>
        <stp>APOL</stp>
        <tr r="B45" s="1"/>
      </tp>
      <tp>
        <v>64.23</v>
        <stp/>
        <stp>52HIGH</stp>
        <stp>CPB</stp>
        <tr r="N116" s="1"/>
      </tp>
      <tp>
        <v>85.8</v>
        <stp/>
        <stp>LOW</stp>
        <stp>PRGO</stp>
        <tr r="M378" s="1"/>
      </tp>
      <tp>
        <v>0</v>
        <stp/>
        <stp>Last</stp>
        <stp>SPLS</stp>
        <tr r="B419" s="1"/>
      </tp>
      <tp>
        <v>74.92</v>
        <stp/>
        <stp>52HIGH</stp>
        <stp>CSC</stp>
        <tr r="N118" s="1"/>
      </tp>
      <tp>
        <v>55.479100000000003</v>
        <stp/>
        <stp>52HIGH</stp>
        <stp>CSX</stp>
        <tr r="N120" s="1"/>
      </tp>
      <tp>
        <v>0</v>
        <stp/>
        <stp>OPEN</stp>
        <stp>MWV</stp>
        <tr r="K320" s="1"/>
      </tp>
      <tp>
        <v>107.36</v>
        <stp/>
        <stp>52HIGH</stp>
        <stp>CRM</stp>
        <tr r="N117" s="1"/>
      </tp>
      <tp t="s">
        <v>instrument=SYMC</v>
        <stp/>
        <stp>QUOTE_TREND</stp>
        <stp>SYMC</stp>
        <tr r="D431" s="1"/>
      </tp>
      <tp>
        <v>61.85</v>
        <stp/>
        <stp>OPEN</stp>
        <stp>MPC</stp>
        <tr r="K311" s="1"/>
      </tp>
      <tp>
        <v>130.79</v>
        <stp/>
        <stp>HIGH</stp>
        <stp>TRV</stp>
        <tr r="L448" s="1"/>
      </tp>
      <tp>
        <v>26.82</v>
        <stp/>
        <stp>LOW</stp>
        <stp>URBN</stp>
        <tr r="M461" s="1"/>
      </tp>
      <tp>
        <v>78.03</v>
        <stp/>
        <stp>HIGH</stp>
        <stp>TSN</stp>
        <tr r="L449" s="1"/>
      </tp>
      <tp>
        <v>0</v>
        <stp/>
        <stp>HIGH</stp>
        <stp>TSO</stp>
        <tr r="L450" s="1"/>
      </tp>
      <tp>
        <v>74.13</v>
        <stp/>
        <stp>HIGH</stp>
        <stp>TSS</stp>
        <tr r="L451" s="1"/>
      </tp>
      <tp>
        <v>27.61</v>
        <stp/>
        <stp>52HIGH</stp>
        <stp>CTL</stp>
        <tr r="N122" s="1"/>
      </tp>
      <tp>
        <v>0</v>
        <stp/>
        <stp>LOW</stp>
        <stp>BRCM</stp>
        <tr r="M72" s="1"/>
      </tp>
      <tp>
        <v>62.34</v>
        <stp/>
        <stp>LOW</stp>
        <stp>SRCL</stp>
        <tr r="M420" s="1"/>
      </tp>
      <tp>
        <v>48.85</v>
        <stp/>
        <stp>LOW</stp>
        <stp>ORCL</stp>
        <tr r="M347" s="1"/>
      </tp>
      <tp>
        <v>209.55</v>
        <stp/>
        <stp>LOW</stp>
        <stp>LRCX</stp>
        <tr r="M282" s="1"/>
      </tp>
      <tp>
        <v>14.71</v>
        <stp/>
        <stp>OPEN</stp>
        <stp>MRO</stp>
        <tr r="K313" s="1"/>
      </tp>
      <tp>
        <v>55</v>
        <stp/>
        <stp>OPEN</stp>
        <stp>MRK</stp>
        <tr r="K312" s="1"/>
      </tp>
      <tp>
        <v>71.959999999999994</v>
        <stp/>
        <stp>BID</stp>
        <stp>CTSH</stp>
        <tr r="F123" s="1"/>
      </tp>
      <tp>
        <v>90.6</v>
        <stp/>
        <stp>OPEN</stp>
        <stp>MSI</stp>
        <tr r="K316" s="1"/>
      </tp>
      <tp>
        <v>0</v>
        <stp/>
        <stp>52HIGH</stp>
        <stp>CVC</stp>
        <tr r="N125" s="1"/>
      </tp>
      <tp>
        <v>120.89</v>
        <stp/>
        <stp>52HIGH</stp>
        <stp>CVX</stp>
        <tr r="N127" s="1"/>
      </tp>
      <tp>
        <v>84.72</v>
        <stp/>
        <stp>52HIGH</stp>
        <stp>CVS</stp>
        <tr r="N126" s="1"/>
      </tp>
      <tp>
        <v>89.11</v>
        <stp/>
        <stp>BID</stp>
        <stp>NTRS</stp>
        <tr r="F337" s="1"/>
      </tp>
      <tp>
        <v>66.974999999999994</v>
        <stp/>
        <stp>LOW</stp>
        <stp>XRAY</stp>
        <tr r="M497" s="1"/>
      </tp>
      <tp t="s">
        <v>N/A</v>
        <stp/>
        <stp>52LOW</stp>
        <stp>BF-B</stp>
        <tr r="O63" s="1"/>
      </tp>
      <tp t="s">
        <v>instrument=ARG</v>
        <stp/>
        <stp>QUOTE_TREND</stp>
        <stp>ARG</stp>
        <tr r="D46" s="1"/>
      </tp>
      <tp>
        <v>8.8000000000000007</v>
        <stp/>
        <stp>ASK</stp>
        <stp>QEP</stp>
        <tr r="G387" s="1"/>
      </tp>
      <tp t="s">
        <v>instrument=APD</v>
        <stp/>
        <stp>QUOTE_TREND</stp>
        <stp>APD</stp>
        <tr r="D43" s="1"/>
      </tp>
      <tp t="s">
        <v>instrument=APC</v>
        <stp/>
        <stp>QUOTE_TREND</stp>
        <stp>APC</stp>
        <tr r="D42" s="1"/>
      </tp>
      <tp t="s">
        <v>instrument=APA</v>
        <stp/>
        <stp>QUOTE_TREND</stp>
        <stp>APA</stp>
        <tr r="D41" s="1"/>
      </tp>
      <tp t="s">
        <v>instrument=APH</v>
        <stp/>
        <stp>QUOTE_TREND</stp>
        <stp>APH</stp>
        <tr r="D44" s="1"/>
      </tp>
      <tp t="s">
        <v>instrument=AVP</v>
        <stp/>
        <stp>QUOTE_TREND</stp>
        <stp>AVP</stp>
        <tr r="D49" s="1"/>
      </tp>
      <tp t="s">
        <v>instrument=AVY</v>
        <stp/>
        <stp>QUOTE_TREND</stp>
        <stp>AVY</stp>
        <tr r="D50" s="1"/>
      </tp>
      <tp t="s">
        <v>instrument=AVB</v>
        <stp/>
        <stp>QUOTE_TREND</stp>
        <stp>AVB</stp>
        <tr r="D48" s="1"/>
      </tp>
      <tp t="s">
        <v>instrument=ATI</v>
        <stp/>
        <stp>QUOTE_TREND</stp>
        <stp>ATI</stp>
        <tr r="D47" s="1"/>
      </tp>
      <tp t="s">
        <v>instrument=AZO</v>
        <stp/>
        <stp>QUOTE_TREND</stp>
        <stp>AZO</stp>
        <tr r="D52" s="1"/>
      </tp>
      <tp>
        <v>182</v>
        <stp/>
        <stp>BID</stp>
        <stp>RTN</stp>
        <tr r="F401" s="1"/>
      </tp>
      <tp t="s">
        <v>instrument=AXP</v>
        <stp/>
        <stp>QUOTE_TREND</stp>
        <stp>AXP</stp>
        <tr r="D51" s="1"/>
      </tp>
      <tp>
        <v>17.97</v>
        <stp/>
        <stp>BID</stp>
        <stp>RRC</stp>
        <tr r="F399" s="1"/>
      </tp>
      <tp>
        <v>62.2</v>
        <stp/>
        <stp>BID</stp>
        <stp>RSG</stp>
        <tr r="F400" s="1"/>
      </tp>
      <tp t="s">
        <v>instrument=ACT</v>
        <stp/>
        <stp>QUOTE_TREND</stp>
        <stp>ACT</stp>
        <tr r="D12" s="1"/>
      </tp>
      <tp t="s">
        <v>instrument=ACE</v>
        <stp/>
        <stp>QUOTE_TREND</stp>
        <stp>ACE</stp>
        <tr r="D10" s="1"/>
      </tp>
      <tp t="s">
        <v>instrument=ACN</v>
        <stp/>
        <stp>QUOTE_TREND</stp>
        <stp>ACN</stp>
        <tr r="D11" s="1"/>
      </tp>
      <tp t="s">
        <v>instrument=ABT</v>
        <stp/>
        <stp>QUOTE_TREND</stp>
        <stp>ABT</stp>
        <tr r="D9" s="1"/>
      </tp>
      <tp>
        <v>190.53</v>
        <stp/>
        <stp>BID</stp>
        <stp>ROK</stp>
        <tr r="F396" s="1"/>
      </tp>
      <tp t="s">
        <v>instrument=ABC</v>
        <stp/>
        <stp>QUOTE_TREND</stp>
        <stp>ABC</stp>
        <tr r="D8" s="1"/>
      </tp>
      <tp>
        <v>200</v>
        <stp/>
        <stp>BID</stp>
        <stp>ROP</stp>
        <tr r="F397" s="1"/>
      </tp>
      <tp t="s">
        <v>instrument=AGN</v>
        <stp/>
        <stp>QUOTE_TREND</stp>
        <stp>AGN</stp>
        <tr r="D24" s="1"/>
      </tp>
      <tp t="s">
        <v>instrument=AFL</v>
        <stp/>
        <stp>QUOTE_TREND</stp>
        <stp>AFL</stp>
        <tr r="D23" s="1"/>
      </tp>
      <tp t="s">
        <v>instrument=AET</v>
        <stp/>
        <stp>QUOTE_TREND</stp>
        <stp>AET</stp>
        <tr r="D22" s="1"/>
      </tp>
      <tp>
        <v>51.92</v>
        <stp/>
        <stp>BID</stp>
        <stp>RHI</stp>
        <tr r="F393" s="1"/>
      </tp>
      <tp t="s">
        <v>instrument=AES</v>
        <stp/>
        <stp>QUOTE_TREND</stp>
        <stp>AES</stp>
        <tr r="D21" s="1"/>
      </tp>
      <tp t="s">
        <v>instrument=AEP</v>
        <stp/>
        <stp>QUOTE_TREND</stp>
        <stp>AEP</stp>
        <tr r="D20" s="1"/>
      </tp>
      <tp t="s">
        <v>instrument=AEE</v>
        <stp/>
        <stp>QUOTE_TREND</stp>
        <stp>AEE</stp>
        <tr r="D19" s="1"/>
      </tp>
      <tp>
        <v>122.38</v>
        <stp/>
        <stp>BID</stp>
        <stp>RHT</stp>
        <tr r="F394" s="1"/>
      </tp>
      <tp t="s">
        <v>instrument=ADT</v>
        <stp/>
        <stp>QUOTE_TREND</stp>
        <stp>ADT</stp>
        <tr r="D18" s="1"/>
      </tp>
      <tp t="s">
        <v>instrument=ADP</v>
        <stp/>
        <stp>QUOTE_TREND</stp>
        <stp>ADP</stp>
        <tr r="D16" s="1"/>
      </tp>
      <tp t="s">
        <v>instrument=ADM</v>
        <stp/>
        <stp>QUOTE_TREND</stp>
        <stp>ADM</stp>
        <tr r="D15" s="1"/>
      </tp>
      <tp t="s">
        <v>instrument=ADI</v>
        <stp/>
        <stp>QUOTE_TREND</stp>
        <stp>ADI</stp>
        <tr r="D14" s="1"/>
      </tp>
      <tp t="s">
        <v>instrument=AIV</v>
        <stp/>
        <stp>QUOTE_TREND</stp>
        <stp>AIV</stp>
        <tr r="D26" s="1"/>
      </tp>
      <tp t="s">
        <v>instrument=AIZ</v>
        <stp/>
        <stp>QUOTE_TREND</stp>
        <stp>AIZ</stp>
        <tr r="D27" s="1"/>
      </tp>
      <tp>
        <v>11.93</v>
        <stp/>
        <stp>BID</stp>
        <stp>RDC</stp>
        <tr r="F390" s="1"/>
      </tp>
      <tp t="s">
        <v>instrument=AIG</v>
        <stp/>
        <stp>QUOTE_TREND</stp>
        <stp>AIG</stp>
        <tr r="D25" s="1"/>
      </tp>
      <tp t="s">
        <v>instrument=AON</v>
        <stp/>
        <stp>QUOTE_TREND</stp>
        <stp>AON</stp>
        <tr r="D40" s="1"/>
      </tp>
      <tp t="s">
        <v>instrument=ANF</v>
        <stp/>
        <stp>QUOTE_TREND</stp>
        <stp>ANF</stp>
        <tr r="D39" s="1"/>
      </tp>
      <tp t="s">
        <v>instrument=AMT</v>
        <stp/>
        <stp>QUOTE_TREND</stp>
        <stp>AMT</stp>
        <tr r="D36" s="1"/>
      </tp>
      <tp t="s">
        <v>instrument=AMP</v>
        <stp/>
        <stp>QUOTE_TREND</stp>
        <stp>AMP</stp>
        <tr r="D35" s="1"/>
      </tp>
      <tp t="s">
        <v>instrument=AMD</v>
        <stp/>
        <stp>QUOTE_TREND</stp>
        <stp>AMD</stp>
        <tr r="D33" s="1"/>
      </tp>
      <tp>
        <v>65.5</v>
        <stp/>
        <stp>BID</stp>
        <stp>RAI</stp>
        <tr r="F389" s="1"/>
      </tp>
      <tp t="s">
        <v>instrument=ALL</v>
        <stp/>
        <stp>QUOTE_TREND</stp>
        <stp>ALL</stp>
        <tr r="D29" s="1"/>
      </tp>
      <tp>
        <v>184.36</v>
        <stp/>
        <stp>OPEN</stp>
        <stp>LLL</stp>
        <tr r="K274" s="1"/>
      </tp>
      <tp>
        <v>211.45500000000001</v>
        <stp/>
        <stp>HIGH</stp>
        <stp>UNH</stp>
        <tr r="L457" s="1"/>
      </tp>
      <tp>
        <v>53.6</v>
        <stp/>
        <stp>HIGH</stp>
        <stp>UNM</stp>
        <tr r="L458" s="1"/>
      </tp>
      <tp>
        <v>83</v>
        <stp/>
        <stp>OPEN</stp>
        <stp>LLY</stp>
        <tr r="K276" s="1"/>
      </tp>
      <tp>
        <v>116.84</v>
        <stp/>
        <stp>HIGH</stp>
        <stp>UNP</stp>
        <tr r="L459" s="1"/>
      </tp>
      <tp>
        <v>311.58999999999997</v>
        <stp/>
        <stp>OPEN</stp>
        <stp>LMT</stp>
        <tr r="K278" s="1"/>
      </tp>
      <tp>
        <v>68.59</v>
        <stp/>
        <stp>52HIGH</stp>
        <stp>BHI</stp>
        <tr r="N64" s="1"/>
      </tp>
      <tp>
        <v>73.47</v>
        <stp/>
        <stp>OPEN</stp>
        <stp>LNC</stp>
        <tr r="K279" s="1"/>
      </tp>
      <tp>
        <v>79.510000000000005</v>
        <stp/>
        <stp>OPEN</stp>
        <stp>LOW</stp>
        <tr r="K281" s="1"/>
      </tp>
      <tp t="s">
        <v>N/A</v>
        <stp/>
        <stp>52HIGH</stp>
        <stp>BMC</stp>
        <tr r="N69" s="1"/>
      </tp>
      <tp>
        <v>66.099999999999994</v>
        <stp/>
        <stp>52HIGH</stp>
        <stp>BMY</stp>
        <tr r="N71" s="1"/>
      </tp>
      <tp>
        <v>51.98</v>
        <stp/>
        <stp>52HIGH</stp>
        <stp>BMS</stp>
        <tr r="N70" s="1"/>
      </tp>
      <tp>
        <v>10.24</v>
        <stp/>
        <stp>Mark</stp>
        <stp>SPLS</stp>
        <tr r="P419" s="1"/>
      </tp>
      <tp>
        <v>43.24</v>
        <stp/>
        <stp>52HIGH</stp>
        <stp>BLL</stp>
        <tr r="N68" s="1"/>
      </tp>
      <tp>
        <v>489.79</v>
        <stp/>
        <stp>52HIGH</stp>
        <stp>BLK</stp>
        <tr r="N67" s="1"/>
      </tp>
      <tp>
        <v>9.99</v>
        <stp/>
        <stp>Mark</stp>
        <stp>APOL</stp>
        <tr r="P45" s="1"/>
      </tp>
      <tp t="s">
        <v>instrument=EXPE</v>
        <stp/>
        <stp>QUOTE_TREND</stp>
        <stp>EXPE</stp>
        <tr r="D175" s="1"/>
      </tp>
      <tp t="s">
        <v>instrument=EXPD</v>
        <stp/>
        <stp>QUOTE_TREND</stp>
        <stp>EXPD</stp>
        <tr r="D174" s="1"/>
      </tp>
      <tp>
        <v>27.98</v>
        <stp/>
        <stp>52HIGH</stp>
        <stp>BAC</stp>
        <tr r="N54" s="1"/>
      </tp>
      <tp>
        <v>65.7</v>
        <stp/>
        <stp>52HIGH</stp>
        <stp>BAX</stp>
        <tr r="N55" s="1"/>
      </tp>
      <tp>
        <v>57.92</v>
        <stp/>
        <stp>OPEN</stp>
        <stp>LEN</stp>
        <tr r="K271" s="1"/>
      </tp>
      <tp>
        <v>45.74</v>
        <stp/>
        <stp>OPEN</stp>
        <stp>LEG</stp>
        <tr r="K270" s="1"/>
      </tp>
      <tp>
        <v>335.84</v>
        <stp/>
        <stp>52HIGH</stp>
        <stp>BCR</stp>
        <tr r="N59" s="1"/>
      </tp>
      <tp>
        <v>63.32</v>
        <stp/>
        <stp>52HIGH</stp>
        <stp>BBY</stp>
        <tr r="N58" s="1"/>
      </tp>
      <tp>
        <v>49.91</v>
        <stp/>
        <stp>52HIGH</stp>
        <stp>BBT</stp>
        <tr r="N57" s="1"/>
      </tp>
      <tp>
        <v>47.65</v>
        <stp/>
        <stp>52HIGH</stp>
        <stp>BEN</stp>
        <tr r="N62" s="1"/>
      </tp>
      <tp>
        <v>390.50009999999997</v>
        <stp/>
        <stp>LOW</stp>
        <stp>ISRG</stp>
        <tr r="M245" s="1"/>
      </tp>
      <tp>
        <v>61.05</v>
        <stp/>
        <stp>LOW</stp>
        <stp>ESRX</stp>
        <tr r="M167" s="1"/>
      </tp>
      <tp>
        <v>225.23</v>
        <stp/>
        <stp>52HIGH</stp>
        <stp>BDX</stp>
        <tr r="N60" s="1"/>
      </tp>
      <tp>
        <v>1019.5</v>
        <stp/>
        <stp>ASK</stp>
        <stp>GOOG</stp>
        <tr r="G205" s="1"/>
      </tp>
      <tp t="s">
        <v>N/A</v>
        <stp/>
        <stp>ASK</stp>
        <stp>MOLX</stp>
        <tr r="G308" s="1"/>
      </tp>
      <tp>
        <v>140.13</v>
        <stp/>
        <stp>52HIGH</stp>
        <stp>BXP</stp>
        <tr r="N77" s="1"/>
      </tp>
      <tp>
        <v>7.95</v>
        <stp/>
        <stp>ASK</stp>
        <stp>FOSL</stp>
        <tr r="G191" s="1"/>
      </tp>
      <tp>
        <v>72.2</v>
        <stp/>
        <stp>ASK</stp>
        <stp>ROST</stp>
        <tr r="G398" s="1"/>
      </tp>
      <tp>
        <v>172</v>
        <stp/>
        <stp>ASK</stp>
        <stp>COST</stp>
        <tr r="G114" s="1"/>
      </tp>
      <tp>
        <v>59.53</v>
        <stp/>
        <stp>LOW</stp>
        <stp>FSLR</stp>
        <tr r="M193" s="1"/>
      </tp>
      <tp>
        <v>103.05</v>
        <stp/>
        <stp>OPEN</stp>
        <stp>LYB</stp>
        <tr r="K287" s="1"/>
      </tp>
      <tp t="s">
        <v>N/A</v>
        <stp/>
        <stp>OPEN</stp>
        <stp>LTD</stp>
        <tr r="K284" s="1"/>
      </tp>
      <tp>
        <v>82.24</v>
        <stp/>
        <stp>LOW</stp>
        <stp>MSFT</stp>
        <tr r="M315" s="1"/>
      </tp>
      <tp>
        <v>24.94</v>
        <stp/>
        <stp>OPEN</stp>
        <stp>LUK</stp>
        <tr r="K285" s="1"/>
      </tp>
      <tp>
        <v>55.01</v>
        <stp/>
        <stp>OPEN</stp>
        <stp>LUV</stp>
        <tr r="K286" s="1"/>
      </tp>
      <tp>
        <v>117.63</v>
        <stp/>
        <stp>HIGH</stp>
        <stp>UTX</stp>
        <tr r="L463" s="1"/>
      </tp>
      <tp>
        <v>29.93</v>
        <stp/>
        <stp>52HIGH</stp>
        <stp>BSX</stp>
        <tr r="N74" s="1"/>
      </tp>
      <tp>
        <v>52.04</v>
        <stp/>
        <stp>HIGH</stp>
        <stp>USB</stp>
        <tr r="L462" s="1"/>
      </tp>
      <tp>
        <v>32.5</v>
        <stp/>
        <stp>52HIGH</stp>
        <stp>BTU</stp>
        <tr r="N75" s="1"/>
      </tp>
      <tp>
        <v>35.81</v>
        <stp/>
        <stp>LOW</stp>
        <stp>CSCO</stp>
        <tr r="M119" s="1"/>
      </tp>
      <tp>
        <v>113.5</v>
        <stp/>
        <stp>HIGH</stp>
        <stp>UPS</stp>
        <tr r="L460" s="1"/>
      </tp>
      <tp>
        <v>53.84</v>
        <stp/>
        <stp>52HIGH</stp>
        <stp>BWA</stp>
        <tr r="N76" s="1"/>
      </tp>
      <tp>
        <v>89.72</v>
        <stp/>
        <stp>OPEN</stp>
        <stp>LSI</stp>
        <tr r="K283" s="1"/>
      </tp>
      <tp>
        <v>1</v>
        <stp/>
        <stp>ASK_SIZE</stp>
        <stp>MS</stp>
        <tr r="I314" s="1"/>
      </tp>
      <tp>
        <v>34</v>
        <stp/>
        <stp>ASK_SIZE</stp>
        <stp>MU</stp>
        <tr r="I318" s="1"/>
      </tp>
      <tp>
        <v>1</v>
        <stp/>
        <stp>ASK_SIZE</stp>
        <stp>MO</stp>
        <tr r="I307" s="1"/>
      </tp>
      <tp>
        <v>3</v>
        <stp/>
        <stp>ASK_SIZE</stp>
        <stp>MA</stp>
        <tr r="I289" s="1"/>
      </tp>
      <tp>
        <v>2</v>
        <stp/>
        <stp>ASK_SIZE</stp>
        <stp>LH</stp>
        <tr r="I272" s="1"/>
      </tp>
      <tp>
        <v>1</v>
        <stp/>
        <stp>ASK_SIZE</stp>
        <stp>LM</stp>
        <tr r="I277" s="1"/>
      </tp>
      <tp>
        <v>0</v>
        <stp/>
        <stp>ASK_SIZE</stp>
        <stp>LO</stp>
        <tr r="I280" s="1"/>
      </tp>
      <tp>
        <v>3</v>
        <stp/>
        <stp>ASK_SIZE</stp>
        <stp>OI</stp>
        <tr r="I344" s="1"/>
      </tp>
      <tp>
        <v>0</v>
        <stp/>
        <stp>ASK_SIZE</stp>
        <stp>NU</stp>
        <tr r="I338" s="1"/>
      </tp>
      <tp>
        <v>5</v>
        <stp/>
        <stp>ASK_SIZE</stp>
        <stp>NI</stp>
        <tr r="I330" s="1"/>
      </tp>
      <tp>
        <v>25</v>
        <stp/>
        <stp>ASK_SIZE</stp>
        <stp>NE</stp>
        <tr r="I325" s="1"/>
      </tp>
      <tp>
        <v>1</v>
        <stp/>
        <stp>ASK_SIZE</stp>
        <stp>IP</stp>
        <tr r="I241" s="1"/>
      </tp>
      <tp>
        <v>1</v>
        <stp/>
        <stp>ASK_SIZE</stp>
        <stp>IR</stp>
        <tr r="I243" s="1"/>
      </tp>
      <tp>
        <v>1</v>
        <stp/>
        <stp>ASK_SIZE</stp>
        <stp>HP</stp>
        <tr r="I226" s="1"/>
      </tp>
      <tp>
        <v>1</v>
        <stp/>
        <stp>ASK_SIZE</stp>
        <stp>HD</stp>
        <tr r="I219" s="1"/>
      </tp>
      <tp>
        <v>1</v>
        <stp/>
        <stp>ASK_SIZE</stp>
        <stp>KR</stp>
        <tr r="I266" s="1"/>
      </tp>
      <tp>
        <v>1</v>
        <stp/>
        <stp>ASK_SIZE</stp>
        <stp>KO</stp>
        <tr r="I265" s="1"/>
      </tp>
      <tp>
        <v>1</v>
        <stp/>
        <stp>ASK_SIZE</stp>
        <stp>EW</stp>
        <tr r="I172" s="1"/>
      </tp>
      <tp>
        <v>2</v>
        <stp/>
        <stp>ASK_SIZE</stp>
        <stp>EL</stp>
        <tr r="I160" s="1"/>
      </tp>
      <tp>
        <v>3</v>
        <stp/>
        <stp>ASK_SIZE</stp>
        <stp>EA</stp>
        <tr r="I154" s="1"/>
      </tp>
      <tp>
        <v>1</v>
        <stp/>
        <stp>ASK_SIZE</stp>
        <stp>ED</stp>
        <tr r="I157" s="1"/>
      </tp>
      <tp>
        <v>8</v>
        <stp/>
        <stp>ASK_SIZE</stp>
        <stp>DO</stp>
        <tr r="I144" s="1"/>
      </tp>
      <tp>
        <v>0</v>
        <stp/>
        <stp>ASK_SIZE</stp>
        <stp>DD</stp>
        <tr r="I129" s="1"/>
      </tp>
      <tp>
        <v>8</v>
        <stp/>
        <stp>ASK_SIZE</stp>
        <stp>DE</stp>
        <tr r="I130" s="1"/>
      </tp>
      <tp>
        <v>8</v>
        <stp/>
        <stp>ASK_SIZE</stp>
        <stp>DF</stp>
        <tr r="I132" s="1"/>
      </tp>
      <tp>
        <v>1</v>
        <stp/>
        <stp>ASK_SIZE</stp>
        <stp>DG</stp>
        <tr r="I134" s="1"/>
      </tp>
      <tp>
        <v>1</v>
        <stp/>
        <stp>ASK_SIZE</stp>
        <stp>GS</stp>
        <tr r="I209" s="1"/>
      </tp>
      <tp>
        <v>7</v>
        <stp/>
        <stp>ASK_SIZE</stp>
        <stp>GT</stp>
        <tr r="I210" s="1"/>
      </tp>
      <tp>
        <v>4</v>
        <stp/>
        <stp>ASK_SIZE</stp>
        <stp>GD</stp>
        <tr r="I198" s="1"/>
      </tp>
      <tp>
        <v>3</v>
        <stp/>
        <stp>ASK_SIZE</stp>
        <stp>GE</stp>
        <tr r="I199" s="1"/>
      </tp>
      <tp>
        <v>10</v>
        <stp/>
        <stp>ASK_SIZE</stp>
        <stp>FE</stp>
        <tr r="I181" s="1"/>
      </tp>
      <tp>
        <v>1</v>
        <stp/>
        <stp>ASK_SIZE</stp>
        <stp>AN</stp>
        <tr r="I38" s="1"/>
      </tp>
      <tp>
        <v>94</v>
        <stp/>
        <stp>ASK_SIZE</stp>
        <stp>AA</stp>
        <tr r="I5" s="1"/>
      </tp>
      <tp>
        <v>0</v>
        <stp/>
        <stp>ASK_SIZE</stp>
        <stp>CI</stp>
        <tr r="I96" s="1"/>
      </tp>
      <tp>
        <v>1</v>
        <stp/>
        <stp>ASK_SIZE</stp>
        <stp>CL</stp>
        <tr r="I98" s="1"/>
      </tp>
      <tp>
        <v>3</v>
        <stp/>
        <stp>ASK_SIZE</stp>
        <stp>CA</stp>
        <tr r="I79" s="1"/>
      </tp>
      <tp>
        <v>2</v>
        <stp/>
        <stp>ASK_SIZE</stp>
        <stp>CB</stp>
        <tr r="I84" s="1"/>
      </tp>
      <tp>
        <v>1</v>
        <stp/>
        <stp>ASK_SIZE</stp>
        <stp>CF</stp>
        <tr r="I92" s="1"/>
      </tp>
      <tp>
        <v>1</v>
        <stp/>
        <stp>ASK_SIZE</stp>
        <stp>BK</stp>
        <tr r="I66" s="1"/>
      </tp>
      <tp>
        <v>1</v>
        <stp/>
        <stp>ASK_SIZE</stp>
        <stp>BA</stp>
        <tr r="I53" s="1"/>
      </tp>
      <tp t="s">
        <v>N/A</v>
        <stp/>
        <stp>STRENGTH_METER</stp>
        <stp>ZMH</stp>
        <tr r="C503" s="1"/>
      </tp>
      <tp>
        <v>1</v>
        <stp/>
        <stp>ASK_SIZE</stp>
        <stp>XL</stp>
        <tr r="I494" s="1"/>
      </tp>
      <tp>
        <v>0</v>
        <stp/>
        <stp>ASK_SIZE</stp>
        <stp>TE</stp>
        <tr r="I436" s="1"/>
      </tp>
      <tp>
        <v>6</v>
        <stp/>
        <stp>ASK_SIZE</stp>
        <stp>WY</stp>
        <tr r="I489" s="1"/>
      </tp>
      <tp>
        <v>5</v>
        <stp/>
        <stp>ASK_SIZE</stp>
        <stp>WU</stp>
        <tr r="I488" s="1"/>
      </tp>
      <tp>
        <v>2</v>
        <stp/>
        <stp>ASK_SIZE</stp>
        <stp>WM</stp>
        <tr r="I483" s="1"/>
      </tp>
      <tp>
        <v>2</v>
        <stp/>
        <stp>ASK_SIZE</stp>
        <stp>VZ</stp>
        <tr r="I473" s="1"/>
      </tp>
      <tp>
        <v>0</v>
        <stp/>
        <stp>ASK_SIZE</stp>
        <stp>PX</stp>
        <tr r="I384" s="1"/>
      </tp>
      <tp>
        <v>1</v>
        <stp/>
        <stp>ASK_SIZE</stp>
        <stp>PH</stp>
        <tr r="I366" s="1"/>
      </tp>
      <tp>
        <v>1</v>
        <stp/>
        <stp>ASK_SIZE</stp>
        <stp>PM</stp>
        <tr r="I371" s="1"/>
      </tp>
      <tp>
        <v>1</v>
        <stp/>
        <stp>ASK_SIZE</stp>
        <stp>PG</stp>
        <tr r="I364" s="1"/>
      </tp>
      <tp>
        <v>1</v>
        <stp/>
        <stp>ASK_SIZE</stp>
        <stp>SO</stp>
        <tr r="I417" s="1"/>
      </tp>
      <tp>
        <v>2</v>
        <stp/>
        <stp>ASK_SIZE</stp>
        <stp>SE</stp>
        <tr r="I407" s="1"/>
      </tp>
      <tp>
        <v>1</v>
        <stp/>
        <stp>ASK_SIZE</stp>
        <stp>RL</stp>
        <tr r="I395" s="1"/>
      </tp>
      <tp>
        <v>11</v>
        <stp/>
        <stp>ASK_SIZE</stp>
        <stp>RF</stp>
        <tr r="I392" s="1"/>
      </tp>
      <tp t="s">
        <v>instrument=FRX</v>
        <stp/>
        <stp>QUOTE_TREND</stp>
        <stp>FRX</stp>
        <tr r="D192" s="1"/>
      </tp>
      <tp>
        <v>71.19</v>
        <stp/>
        <stp>ASK</stp>
        <stp>VFC</stp>
        <tr r="G466" s="1"/>
      </tp>
      <tp>
        <v>115.03</v>
        <stp/>
        <stp>ASK</stp>
        <stp>VAR</stp>
        <tr r="G465" s="1"/>
      </tp>
      <tp t="s">
        <v>instrument=FTR</v>
        <stp/>
        <stp>QUOTE_TREND</stp>
        <stp>FTR</stp>
        <tr r="D195" s="1"/>
      </tp>
      <tp t="s">
        <v>instrument=FTI</v>
        <stp/>
        <stp>QUOTE_TREND</stp>
        <stp>FTI</stp>
        <tr r="D194" s="1"/>
      </tp>
      <tp>
        <v>82.88</v>
        <stp/>
        <stp>ASK</stp>
        <stp>VLO</stp>
        <tr r="G468" s="1"/>
      </tp>
      <tp>
        <v>126.25</v>
        <stp/>
        <stp>ASK</stp>
        <stp>VMC</stp>
        <tr r="G469" s="1"/>
      </tp>
      <tp>
        <v>80.540000000000006</v>
        <stp/>
        <stp>ASK</stp>
        <stp>VNO</stp>
        <tr r="G470" s="1"/>
      </tp>
      <tp>
        <v>116.45</v>
        <stp/>
        <stp>BID</stp>
        <stp>UTX</stp>
        <tr r="F463" s="1"/>
      </tp>
      <tp>
        <v>51.75</v>
        <stp/>
        <stp>BID</stp>
        <stp>USB</stp>
        <tr r="F462" s="1"/>
      </tp>
      <tp>
        <v>112.94</v>
        <stp/>
        <stp>BID</stp>
        <stp>UPS</stp>
        <tr r="F460" s="1"/>
      </tp>
      <tp>
        <v>45.77</v>
        <stp/>
        <stp>BID</stp>
        <stp>UNM</stp>
        <tr r="F458" s="1"/>
      </tp>
      <tp>
        <v>209.98</v>
        <stp/>
        <stp>BID</stp>
        <stp>UNH</stp>
        <tr r="F457" s="1"/>
      </tp>
      <tp t="s">
        <v>instrument=FCX</v>
        <stp/>
        <stp>QUOTE_TREND</stp>
        <stp>FCX</stp>
        <tr r="D178" s="1"/>
      </tp>
      <tp>
        <v>64.510000000000005</v>
        <stp/>
        <stp>ASK</stp>
        <stp>VTR</stp>
        <tr r="G472" s="1"/>
      </tp>
      <tp>
        <v>115.63</v>
        <stp/>
        <stp>BID</stp>
        <stp>UNP</stp>
        <tr r="F459" s="1"/>
      </tp>
      <tp t="s">
        <v>instrument=FDX</v>
        <stp/>
        <stp>QUOTE_TREND</stp>
        <stp>FDX</stp>
        <tr r="D180" s="1"/>
      </tp>
      <tp t="s">
        <v>instrument=FDO</v>
        <stp/>
        <stp>QUOTE_TREND</stp>
        <stp>FDO</stp>
        <tr r="D179" s="1"/>
      </tp>
      <tp t="s">
        <v>instrument=FIS</v>
        <stp/>
        <stp>QUOTE_TREND</stp>
        <stp>FIS</stp>
        <tr r="D184" s="1"/>
      </tp>
      <tp t="s">
        <v>instrument=FHN</v>
        <stp/>
        <stp>QUOTE_TREND</stp>
        <stp>FHN</stp>
        <tr r="D183" s="1"/>
      </tp>
      <tp t="s">
        <v>instrument=FMC</v>
        <stp/>
        <stp>QUOTE_TREND</stp>
        <stp>FMC</stp>
        <tr r="D190" s="1"/>
      </tp>
      <tp t="s">
        <v>instrument=FLR</v>
        <stp/>
        <stp>QUOTE_TREND</stp>
        <stp>FLR</stp>
        <tr r="D188" s="1"/>
      </tp>
      <tp t="s">
        <v>instrument=FLS</v>
        <stp/>
        <stp>QUOTE_TREND</stp>
        <stp>FLS</stp>
        <tr r="D189" s="1"/>
      </tp>
      <tp>
        <v>83.38</v>
        <stp/>
        <stp>52HIGH</stp>
        <stp>EIX</stp>
        <tr r="N159" s="1"/>
      </tp>
      <tp>
        <v>59.59</v>
        <stp/>
        <stp>BID</stp>
        <stp>GRMN</stp>
        <tr r="F208" s="1"/>
      </tp>
      <tp>
        <v>196.99</v>
        <stp/>
        <stp>HIGH</stp>
        <stp>ROK</stp>
        <tr r="L396" s="1"/>
      </tp>
      <tp>
        <v>16.829999999999998</v>
        <stp/>
        <stp>OPEN</stp>
        <stp>KMI</stp>
        <tr r="K263" s="1"/>
      </tp>
      <tp>
        <v>114.14</v>
        <stp/>
        <stp>OPEN</stp>
        <stp>KMB</stp>
        <tr r="K262" s="1"/>
      </tp>
      <tp>
        <v>69.08</v>
        <stp/>
        <stp>OPEN</stp>
        <stp>KMX</stp>
        <tr r="K264" s="1"/>
      </tp>
      <tp>
        <v>257.58</v>
        <stp/>
        <stp>HIGH</stp>
        <stp>ROP</stp>
        <tr r="L397" s="1"/>
      </tp>
      <tp>
        <v>211.84</v>
        <stp/>
        <stp>BID</stp>
        <stp>ORLY</stp>
        <tr r="F348" s="1"/>
      </tp>
      <tp>
        <v>80.430000000000007</v>
        <stp/>
        <stp>BID</stp>
        <stp>TROW</stp>
        <tr r="F447" s="1"/>
      </tp>
      <tp>
        <v>94.96</v>
        <stp/>
        <stp>52HIGH</stp>
        <stp>EMN</stp>
        <tr r="N162" s="1"/>
      </tp>
      <tp>
        <v>0</v>
        <stp/>
        <stp>52HIGH</stp>
        <stp>EMC</stp>
        <tr r="N161" s="1"/>
      </tp>
      <tp>
        <v>67.784999999999997</v>
        <stp/>
        <stp>52HIGH</stp>
        <stp>EMR</stp>
        <tr r="N163" s="1"/>
      </tp>
      <tp>
        <v>30.51</v>
        <stp/>
        <stp>BID</stp>
        <stp>TRIP</stp>
        <tr r="F446" s="1"/>
      </tp>
      <tp>
        <v>19.309999999999999</v>
        <stp/>
        <stp>OPEN</stp>
        <stp>KIM</stp>
        <tr r="K260" s="1"/>
      </tp>
      <tp>
        <v>55.22</v>
        <stp/>
        <stp>HIGH</stp>
        <stp>RHI</stp>
        <tr r="L393" s="1"/>
      </tp>
      <tp>
        <v>126.46</v>
        <stp/>
        <stp>HIGH</stp>
        <stp>RHT</stp>
        <tr r="L394" s="1"/>
      </tp>
      <tp>
        <v>109.37</v>
        <stp/>
        <stp>52HIGH</stp>
        <stp>EOG</stp>
        <tr r="N164" s="1"/>
      </tp>
      <tp>
        <v>85.44</v>
        <stp/>
        <stp>LOW</stp>
        <stp>CTXS</stp>
        <tr r="M124" s="1"/>
      </tp>
      <tp>
        <v>18.02</v>
        <stp/>
        <stp>OPEN</stp>
        <stp>KEY</stp>
        <tr r="K259" s="1"/>
      </tp>
      <tp>
        <v>14.03</v>
        <stp/>
        <stp>HIGH</stp>
        <stp>RDC</stp>
        <tr r="L390" s="1"/>
      </tp>
      <tp>
        <v>134.88999999999999</v>
        <stp/>
        <stp>52HIGH</stp>
        <stp>ECL</stp>
        <tr r="N156" s="1"/>
      </tp>
      <tp>
        <v>81.5</v>
        <stp/>
        <stp>BID</stp>
        <stp>PRGO</stp>
        <tr r="F378" s="1"/>
      </tp>
      <tp>
        <v>87</v>
        <stp/>
        <stp>BID</stp>
        <stp>KRFT</stp>
        <tr r="F267" s="1"/>
      </tp>
      <tp>
        <v>93.26</v>
        <stp/>
        <stp>LOW</stp>
        <stp>NTRS</stp>
        <tr r="M337" s="1"/>
      </tp>
      <tp>
        <v>66.61</v>
        <stp/>
        <stp>BID</stp>
        <stp>XRAY</stp>
        <tr r="F497" s="1"/>
      </tp>
      <tp>
        <v>72.88</v>
        <stp/>
        <stp>LOW</stp>
        <stp>CTSH</stp>
        <tr r="M123" s="1"/>
      </tp>
      <tp>
        <v>15.87</v>
        <stp/>
        <stp>ASK</stp>
        <stp>YHOO</stp>
        <tr r="G500" s="1"/>
      </tp>
      <tp>
        <v>54.3</v>
        <stp/>
        <stp>BID</stp>
        <stp>BRCM</stp>
        <tr r="F72" s="1"/>
      </tp>
      <tp>
        <v>62.25</v>
        <stp/>
        <stp>BID</stp>
        <stp>SRCL</stp>
        <tr r="F420" s="1"/>
      </tp>
      <tp>
        <v>48.9</v>
        <stp/>
        <stp>BID</stp>
        <stp>ORCL</stp>
        <tr r="F347" s="1"/>
      </tp>
      <tp>
        <v>210.56</v>
        <stp/>
        <stp>BID</stp>
        <stp>LRCX</stp>
        <tr r="F282" s="1"/>
      </tp>
      <tp>
        <v>0</v>
        <stp/>
        <stp>HIGH</stp>
        <stp>RAI</stp>
        <tr r="L389" s="1"/>
      </tp>
      <tp>
        <v>147.02000000000001</v>
        <stp/>
        <stp>52HIGH</stp>
        <stp>EFX</stp>
        <tr r="N158" s="1"/>
      </tp>
      <tp>
        <v>27.76</v>
        <stp/>
        <stp>BID</stp>
        <stp>URBN</stp>
        <tr r="F461" s="1"/>
      </tp>
      <tp>
        <v>78.489999999999995</v>
        <stp/>
        <stp>ASK</stp>
        <stp>CHRW</stp>
        <tr r="G95" s="1"/>
      </tp>
      <tp>
        <v>42.67</v>
        <stp/>
        <stp>52HIGH</stp>
        <stp>EXC</stp>
        <tr r="N173" s="1"/>
      </tp>
      <tp>
        <v>211.36</v>
        <stp/>
        <stp>Last</stp>
        <stp>NVDA</stp>
        <tr r="B340" s="1"/>
      </tp>
      <tp>
        <v>75.739999999999995</v>
        <stp/>
        <stp>52HIGH</stp>
        <stp>EQT</stp>
        <tr r="N166" s="1"/>
      </tp>
      <tp>
        <v>70.454999999999998</v>
        <stp/>
        <stp>52HIGH</stp>
        <stp>EQR</stp>
        <tr r="N165" s="1"/>
      </tp>
      <tp>
        <v>43.75</v>
        <stp/>
        <stp>LOW</stp>
        <stp>ETFC</stp>
        <tr r="M169" s="1"/>
      </tp>
      <tp>
        <v>184.07</v>
        <stp/>
        <stp>HIGH</stp>
        <stp>RTN</stp>
        <tr r="L401" s="1"/>
      </tp>
      <tp>
        <v>15.84</v>
        <stp/>
        <stp>Mark</stp>
        <stp>NWSA</stp>
        <tr r="P342" s="1"/>
      </tp>
      <tp>
        <v>12.04</v>
        <stp/>
        <stp>52HIGH</stp>
        <stp>ESV</stp>
        <tr r="N168" s="1"/>
      </tp>
      <tp>
        <v>18.059999999999999</v>
        <stp/>
        <stp>HIGH</stp>
        <stp>RRC</stp>
        <tr r="L399" s="1"/>
      </tp>
      <tp>
        <v>63.12</v>
        <stp/>
        <stp>HIGH</stp>
        <stp>RSG</stp>
        <tr r="L400" s="1"/>
      </tp>
      <tp>
        <v>82.34</v>
        <stp/>
        <stp>52HIGH</stp>
        <stp>ETN</stp>
        <tr r="N170" s="1"/>
      </tp>
      <tp>
        <v>87.95</v>
        <stp/>
        <stp>52HIGH</stp>
        <stp>ETR</stp>
        <tr r="N171" s="1"/>
      </tp>
      <tp>
        <v>107.83</v>
        <stp/>
        <stp>BID</stp>
        <stp>VRSN</stp>
        <tr r="F471" s="1"/>
      </tp>
      <tp>
        <v>42.99</v>
        <stp/>
        <stp>OPEN</stp>
        <stp>KSS</stp>
        <tr r="K268" s="1"/>
      </tp>
      <tp>
        <v>52.5</v>
        <stp/>
        <stp>LOW</stp>
        <stp>NTAP</stp>
        <tr r="M336" s="1"/>
      </tp>
      <tp>
        <v>148.33000000000001</v>
        <stp/>
        <stp>LOW</stp>
        <stp>CTAS</stp>
        <tr r="M121" s="1"/>
      </tp>
      <tp>
        <v>1482056</v>
        <stp/>
        <stp>VOLUME</stp>
        <stp>YUM</stp>
        <tr r="J501" s="1"/>
      </tp>
      <tp>
        <v>0.79</v>
        <stp/>
        <stp>NET_CHANGE</stp>
        <stp>DISCA</stp>
        <tr r="E139" s="1"/>
      </tp>
      <tp>
        <v>91.5</v>
        <stp/>
        <stp>ASK</stp>
        <stp>WDC</stp>
        <tr r="G476" s="1"/>
      </tp>
      <tp>
        <v>68.5</v>
        <stp/>
        <stp>ASK</stp>
        <stp>WEC</stp>
        <tr r="G477" s="1"/>
      </tp>
      <tp>
        <v>54.18</v>
        <stp/>
        <stp>ASK</stp>
        <stp>WFC</stp>
        <tr r="G478" s="1"/>
      </tp>
      <tp>
        <v>42.01</v>
        <stp/>
        <stp>ASK</stp>
        <stp>WFM</stp>
        <tr r="G479" s="1"/>
      </tp>
      <tp t="s">
        <v>instrument=GPS</v>
        <stp/>
        <stp>QUOTE_TREND</stp>
        <stp>GPS</stp>
        <tr r="D207" s="1"/>
      </tp>
      <tp t="s">
        <v>instrument=GPC</v>
        <stp/>
        <stp>QUOTE_TREND</stp>
        <stp>GPC</stp>
        <tr r="D206" s="1"/>
      </tp>
      <tp t="s">
        <v>instrument=GWW</v>
        <stp/>
        <stp>QUOTE_TREND</stp>
        <stp>GWW</stp>
        <tr r="D211" s="1"/>
      </tp>
      <tp>
        <v>133.03</v>
        <stp/>
        <stp>ASK</stp>
        <stp>WAG</stp>
        <tr r="G474" s="1"/>
      </tp>
      <tp>
        <v>209.14</v>
        <stp/>
        <stp>ASK</stp>
        <stp>WAT</stp>
        <tr r="G475" s="1"/>
      </tp>
      <tp>
        <v>97.32</v>
        <stp/>
        <stp>BID</stp>
        <stp>TXN</stp>
        <tr r="F454" s="1"/>
      </tp>
      <tp>
        <v>48.5</v>
        <stp/>
        <stp>BID</stp>
        <stp>TXT</stp>
        <tr r="F455" s="1"/>
      </tp>
      <tp>
        <v>44.52</v>
        <stp/>
        <stp>BID</stp>
        <stp>TYC</stp>
        <tr r="F456" s="1"/>
      </tp>
      <tp>
        <v>145.38999999999999</v>
        <stp/>
        <stp>ASK</stp>
        <stp>WLP</stp>
        <tr r="G482" s="1"/>
      </tp>
      <tp>
        <v>27.28</v>
        <stp/>
        <stp>ASK</stp>
        <stp>WMB</stp>
        <tr r="G484" s="1"/>
      </tp>
      <tp>
        <v>206.1</v>
        <stp/>
        <stp>BID</stp>
        <stp>TWC</stp>
        <tr r="F452" s="1"/>
      </tp>
      <tp>
        <v>88.5</v>
        <stp/>
        <stp>BID</stp>
        <stp>TWX</stp>
        <tr r="F453" s="1"/>
      </tp>
      <tp>
        <v>97.41</v>
        <stp/>
        <stp>ASK</stp>
        <stp>WMT</stp>
        <tr r="G485" s="1"/>
      </tp>
      <tp>
        <v>167.26</v>
        <stp/>
        <stp>ASK</stp>
        <stp>WHR</stp>
        <tr r="G480" s="1"/>
      </tp>
      <tp>
        <v>120.07</v>
        <stp/>
        <stp>BID</stp>
        <stp>TRV</stp>
        <tr r="F448" s="1"/>
      </tp>
      <tp>
        <v>99.2</v>
        <stp/>
        <stp>BID</stp>
        <stp>TSO</stp>
        <tr r="F450" s="1"/>
      </tp>
      <tp>
        <v>77.010000000000005</v>
        <stp/>
        <stp>BID</stp>
        <stp>TSN</stp>
        <tr r="F449" s="1"/>
      </tp>
      <tp>
        <v>2.2599999999999998</v>
        <stp/>
        <stp>ASK</stp>
        <stp>WIN</stp>
        <tr r="G481" s="1"/>
      </tp>
      <tp>
        <v>0.7</v>
        <stp/>
        <stp>BID</stp>
        <stp>TSS</stp>
        <tr r="F451" s="1"/>
      </tp>
      <tp t="s">
        <v>instrument=GCI</v>
        <stp/>
        <stp>QUOTE_TREND</stp>
        <stp>GCI</stp>
        <tr r="D197" s="1"/>
      </tp>
      <tp t="s">
        <v>instrument=GAS</v>
        <stp/>
        <stp>QUOTE_TREND</stp>
        <stp>GAS</stp>
        <tr r="D196" s="1"/>
      </tp>
      <tp>
        <v>190.01</v>
        <stp/>
        <stp>BID</stp>
        <stp>TMO</stp>
        <tr r="F445" s="1"/>
      </tp>
      <tp>
        <v>80.48</v>
        <stp/>
        <stp>BID</stp>
        <stp>TMK</stp>
        <tr r="F444" s="1"/>
      </tp>
      <tp t="s">
        <v>N/A</v>
        <stp/>
        <stp>ASK</stp>
        <stp>WPO</stp>
        <tr r="G486" s="1"/>
      </tp>
      <tp>
        <v>70.849999999999994</v>
        <stp/>
        <stp>BID</stp>
        <stp>TJX</stp>
        <tr r="F443" s="1"/>
      </tp>
      <tp>
        <v>12.35</v>
        <stp/>
        <stp>ASK</stp>
        <stp>WPX</stp>
        <tr r="G487" s="1"/>
      </tp>
      <tp>
        <v>0</v>
        <stp/>
        <stp>LOW</stp>
        <stp>ZMH</stp>
        <tr r="M503" s="1"/>
      </tp>
      <tp>
        <v>13.06</v>
        <stp/>
        <stp>BID</stp>
        <stp>THC</stp>
        <tr r="F441" s="1"/>
      </tp>
      <tp>
        <v>90.21</v>
        <stp/>
        <stp>BID</stp>
        <stp>TIF</stp>
        <tr r="F442" s="1"/>
      </tp>
      <tp>
        <v>58.06</v>
        <stp/>
        <stp>BID</stp>
        <stp>TGT</stp>
        <tr r="F440" s="1"/>
      </tp>
      <tp t="s">
        <v>instrument=GIS</v>
        <stp/>
        <stp>QUOTE_TREND</stp>
        <stp>GIS</stp>
        <tr r="D201" s="1"/>
      </tp>
      <tp>
        <v>34.99</v>
        <stp/>
        <stp>BID</stp>
        <stp>TDC</stp>
        <tr r="F435" s="1"/>
      </tp>
      <tp>
        <v>95.03</v>
        <stp/>
        <stp>BID</stp>
        <stp>TEL</stp>
        <tr r="F438" s="1"/>
      </tp>
      <tp>
        <v>100.03</v>
        <stp/>
        <stp>BID</stp>
        <stp>TEG</stp>
        <tr r="F437" s="1"/>
      </tp>
      <tp>
        <v>43.01</v>
        <stp/>
        <stp>BID</stp>
        <stp>TER</stp>
        <tr r="F439" s="1"/>
      </tp>
      <tp t="s">
        <v>instrument=GNW</v>
        <stp/>
        <stp>QUOTE_TREND</stp>
        <stp>GNW</stp>
        <tr r="D204" s="1"/>
      </tp>
      <tp>
        <v>109.25</v>
        <stp/>
        <stp>ASK</stp>
        <stp>WYN</stp>
        <tr r="G490" s="1"/>
      </tp>
      <tp t="s">
        <v>instrument=GME</v>
        <stp/>
        <stp>QUOTE_TREND</stp>
        <stp>GME</stp>
        <tr r="D203" s="1"/>
      </tp>
      <tp t="s">
        <v>instrument=GLW</v>
        <stp/>
        <stp>QUOTE_TREND</stp>
        <stp>GLW</stp>
        <tr r="D202" s="1"/>
      </tp>
      <tp>
        <v>79</v>
        <stp/>
        <stp>BID</stp>
        <stp>TAP</stp>
        <tr r="F434" s="1"/>
      </tp>
      <tp>
        <v>81.209999999999994</v>
        <stp/>
        <stp>HIGH</stp>
        <stp>SNI</stp>
        <tr r="L416" s="1"/>
      </tp>
      <tp>
        <v>157.74</v>
        <stp/>
        <stp>HIGH</stp>
        <stp>SNA</stp>
        <tr r="L414" s="1"/>
      </tp>
      <tp>
        <v>116.1</v>
        <stp/>
        <stp>52HIGH</stp>
        <stp>DIS</stp>
        <tr r="N138" s="1"/>
      </tp>
      <tp>
        <v>54.2</v>
        <stp/>
        <stp>52LOW</stp>
        <stp>PAYX</stp>
        <tr r="O350" s="1"/>
      </tp>
      <tp>
        <v>47.91</v>
        <stp/>
        <stp>52HIGH</stp>
        <stp>DHI</stp>
        <tr r="N136" s="1"/>
      </tp>
      <tp>
        <v>93.86</v>
        <stp/>
        <stp>52HIGH</stp>
        <stp>DHR</stp>
        <tr r="N137" s="1"/>
      </tp>
      <tp>
        <v>60.09</v>
        <stp/>
        <stp>BID</stp>
        <stp>FSLR</stp>
        <tr r="F193" s="1"/>
      </tp>
      <tp>
        <v>138.30000000000001</v>
        <stp/>
        <stp>OPEN</stp>
        <stp>JNJ</stp>
        <tr r="K253" s="1"/>
      </tp>
      <tp>
        <v>10.45</v>
        <stp/>
        <stp>HIGH</stp>
        <stp>SLM</stp>
        <tr r="L413" s="1"/>
      </tp>
      <tp>
        <v>62.325000000000003</v>
        <stp/>
        <stp>HIGH</stp>
        <stp>SLB</stp>
        <tr r="L412" s="1"/>
      </tp>
      <tp>
        <v>0</v>
        <stp/>
        <stp>OPEN</stp>
        <stp>JOY</stp>
        <tr r="K255" s="1"/>
      </tp>
      <tp>
        <v>26.2</v>
        <stp/>
        <stp>ASK</stp>
        <stp>VIAB</stp>
        <tr r="G467" s="1"/>
      </tp>
      <tp>
        <v>139.97999999999999</v>
        <stp/>
        <stp>ASK</stp>
        <stp>SIAL</stp>
        <tr r="G410" s="1"/>
      </tp>
      <tp>
        <v>117.13</v>
        <stp/>
        <stp>HIGH</stp>
        <stp>SJM</stp>
        <tr r="L411" s="1"/>
      </tp>
      <tp>
        <v>4.1500000000000004</v>
        <stp/>
        <stp>ASK</stp>
        <stp>LIFE</stp>
        <tr r="G273" s="1"/>
      </tp>
      <tp>
        <v>15.84</v>
        <stp/>
        <stp>Last</stp>
        <stp>NWSA</stp>
        <tr r="B342" s="1"/>
      </tp>
      <tp>
        <v>388.31</v>
        <stp/>
        <stp>HIGH</stp>
        <stp>SHW</stp>
        <tr r="L409" s="1"/>
      </tp>
      <tp>
        <v>67.5</v>
        <stp/>
        <stp>52HIGH</stp>
        <stp>DOW</stp>
        <tr r="N146" s="1"/>
      </tp>
      <tp>
        <v>97.09</v>
        <stp/>
        <stp>52HIGH</stp>
        <stp>DOV</stp>
        <tr r="N145" s="1"/>
      </tp>
      <tp>
        <v>125.565</v>
        <stp/>
        <stp>52HIGH</stp>
        <stp>DNB</stp>
        <tr r="N142" s="1"/>
      </tp>
      <tp>
        <v>4.29</v>
        <stp/>
        <stp>52HIGH</stp>
        <stp>DNR</stp>
        <tr r="N143" s="1"/>
      </tp>
      <tp>
        <v>58.26</v>
        <stp/>
        <stp>OPEN</stp>
        <stp>JEC</stp>
        <tr r="K252" s="1"/>
      </tp>
      <tp>
        <v>106.6</v>
        <stp/>
        <stp>52LOW</stp>
        <stp>AAPL</stp>
        <tr r="O6" s="1"/>
      </tp>
      <tp>
        <v>39.79</v>
        <stp/>
        <stp>52LOW</stp>
        <stp>FAST</stp>
        <tr r="O177" s="1"/>
      </tp>
      <tp>
        <v>45.83</v>
        <stp/>
        <stp>HIGH</stp>
        <stp>SEE</stp>
        <tr r="L408" s="1"/>
      </tp>
      <tp>
        <v>313.89999999999998</v>
        <stp/>
        <stp>ASK</stp>
        <stp>BIIB</stp>
        <tr r="G65" s="1"/>
      </tp>
      <tp>
        <v>82.36</v>
        <stp/>
        <stp>BID</stp>
        <stp>MSFT</stp>
        <tr r="F315" s="1"/>
      </tp>
      <tp>
        <v>75</v>
        <stp/>
        <stp>ASK</stp>
        <stp>CINF</stp>
        <tr r="G97" s="1"/>
      </tp>
      <tp>
        <v>45.11</v>
        <stp/>
        <stp>HIGH</stp>
        <stp>SCG</stp>
        <tr r="L405" s="1"/>
      </tp>
      <tp>
        <v>211.35</v>
        <stp/>
        <stp>Mark</stp>
        <stp>NVDA</stp>
        <tr r="P340" s="1"/>
      </tp>
      <tp>
        <v>46.36</v>
        <stp/>
        <stp>ASK</stp>
        <stp>ZION</stp>
        <tr r="G502" s="1"/>
      </tp>
      <tp>
        <v>29.12</v>
        <stp/>
        <stp>OPEN</stp>
        <stp>JBL</stp>
        <tr r="K248" s="1"/>
      </tp>
      <tp>
        <v>112.965</v>
        <stp/>
        <stp>52HIGH</stp>
        <stp>DGX</stp>
        <tr r="N135" s="1"/>
      </tp>
      <tp>
        <v>72.44</v>
        <stp/>
        <stp>ASK</stp>
        <stp>GILD</stp>
        <tr r="G200" s="1"/>
      </tp>
      <tp>
        <v>35.86</v>
        <stp/>
        <stp>BID</stp>
        <stp>CSCO</stp>
        <tr r="F119" s="1"/>
      </tp>
      <tp t="s">
        <v>N/A</v>
        <stp/>
        <stp>HIGH</stp>
        <stp>SAI</stp>
        <tr r="L403" s="1"/>
      </tp>
      <tp>
        <v>35.96</v>
        <stp/>
        <stp>OPEN</stp>
        <stp>JCI</stp>
        <tr r="K249" s="1"/>
      </tp>
      <tp>
        <v>3.2</v>
        <stp/>
        <stp>OPEN</stp>
        <stp>JCP</stp>
        <tr r="K250" s="1"/>
      </tp>
      <tp>
        <v>74.33</v>
        <stp/>
        <stp>52HIGH</stp>
        <stp>DFS</stp>
        <tr r="N133" s="1"/>
      </tp>
      <tp>
        <v>128.66999999999999</v>
        <stp/>
        <stp>ASK</stp>
        <stp>FISV</stp>
        <tr r="G185" s="1"/>
      </tp>
      <tp>
        <v>28.48</v>
        <stp/>
        <stp>ASK</stp>
        <stp>FITB</stp>
        <tr r="G186" s="1"/>
      </tp>
      <tp>
        <v>156.59</v>
        <stp/>
        <stp>HIGH</stp>
        <stp>SYK</stp>
        <tr r="L430" s="1"/>
      </tp>
      <tp>
        <v>55.14</v>
        <stp/>
        <stp>HIGH</stp>
        <stp>SYY</stp>
        <tr r="L432" s="1"/>
      </tp>
      <tp>
        <v>164.35</v>
        <stp/>
        <stp>HIGH</stp>
        <stp>SWK</stp>
        <tr r="L427" s="1"/>
      </tp>
      <tp>
        <v>6.47</v>
        <stp/>
        <stp>HIGH</stp>
        <stp>SWN</stp>
        <tr r="L428" s="1"/>
      </tp>
      <tp>
        <v>0</v>
        <stp/>
        <stp>HIGH</stp>
        <stp>SWY</stp>
        <tr r="L429" s="1"/>
      </tp>
      <tp>
        <v>99.47</v>
        <stp/>
        <stp>52HIGH</stp>
        <stp>DPS</stp>
        <tr r="N147" s="1"/>
      </tp>
      <tp>
        <v>0</v>
        <stp/>
        <stp>HIGH</stp>
        <stp>STJ</stp>
        <tr r="L423" s="1"/>
      </tp>
      <tp>
        <v>58.01</v>
        <stp/>
        <stp>HIGH</stp>
        <stp>STI</stp>
        <tr r="L422" s="1"/>
      </tp>
      <tp>
        <v>217.245</v>
        <stp/>
        <stp>HIGH</stp>
        <stp>STZ</stp>
        <tr r="L426" s="1"/>
      </tp>
      <tp>
        <v>39.6</v>
        <stp/>
        <stp>HIGH</stp>
        <stp>STX</stp>
        <tr r="L425" s="1"/>
      </tp>
      <tp>
        <v>92.89</v>
        <stp/>
        <stp>HIGH</stp>
        <stp>STT</stp>
        <tr r="L424" s="1"/>
      </tp>
      <tp>
        <v>40.86</v>
        <stp/>
        <stp>OPEN</stp>
        <stp>JWN</stp>
        <tr r="K257" s="1"/>
      </tp>
      <tp>
        <v>95.22</v>
        <stp/>
        <stp>52HIGH</stp>
        <stp>DRI</stp>
        <tr r="N148" s="1"/>
      </tp>
      <tp>
        <v>97.82</v>
        <stp/>
        <stp>OPEN</stp>
        <stp>JPM</stp>
        <tr r="K256" s="1"/>
      </tp>
      <tp>
        <v>120.18470000000001</v>
        <stp/>
        <stp>HIGH</stp>
        <stp>SRE</stp>
        <tr r="L421" s="1"/>
      </tp>
      <tp>
        <v>91.8</v>
        <stp/>
        <stp>52HIGH</stp>
        <stp>DUK</stp>
        <tr r="N151" s="1"/>
      </tp>
      <tp>
        <v>116.21</v>
        <stp/>
        <stp>52HIGH</stp>
        <stp>DTE</stp>
        <tr r="N149" s="1"/>
      </tp>
      <tp t="s">
        <v>N/A</v>
        <stp/>
        <stp>52HIGH</stp>
        <stp>DTV</stp>
        <tr r="N150" s="1"/>
      </tp>
      <tp>
        <v>164.17</v>
        <stp/>
        <stp>HIGH</stp>
        <stp>SPG</stp>
        <tr r="L418" s="1"/>
      </tp>
      <tp>
        <v>50.69</v>
        <stp/>
        <stp>52HIGH</stp>
        <stp>DVN</stp>
        <tr r="N153" s="1"/>
      </tp>
      <tp>
        <v>70.16</v>
        <stp/>
        <stp>52HIGH</stp>
        <stp>DVA</stp>
        <tr r="N152" s="1"/>
      </tp>
      <tp>
        <v>392.32</v>
        <stp/>
        <stp>BID</stp>
        <stp>ISRG</stp>
        <tr r="F245" s="1"/>
      </tp>
      <tp>
        <v>60.5</v>
        <stp/>
        <stp>BID</stp>
        <stp>ESRX</stp>
        <tr r="F167" s="1"/>
      </tp>
      <tp>
        <v>2182816</v>
        <stp/>
        <stp>VOLUME</stp>
        <stp>XEL</stp>
        <tr r="J493" s="1"/>
      </tp>
      <tp>
        <v>9518227</v>
        <stp/>
        <stp>VOLUME</stp>
        <stp>XOM</stp>
        <tr r="J496" s="1"/>
      </tp>
      <tp>
        <v>1716972</v>
        <stp/>
        <stp>VOLUME</stp>
        <stp>XRX</stp>
        <tr r="J498" s="1"/>
      </tp>
      <tp>
        <v>561039</v>
        <stp/>
        <stp>VOLUME</stp>
        <stp>XYL</stp>
        <tr r="J499" s="1"/>
      </tp>
      <tp>
        <v>38.89</v>
        <stp/>
        <stp>ASK</stp>
        <stp>TDC</stp>
        <tr r="G435" s="1"/>
      </tp>
      <tp>
        <v>125.78</v>
        <stp/>
        <stp>ASK</stp>
        <stp>TEG</stp>
        <tr r="G437" s="1"/>
      </tp>
      <tp>
        <v>95.04</v>
        <stp/>
        <stp>ASK</stp>
        <stp>TEL</stp>
        <tr r="G438" s="1"/>
      </tp>
      <tp>
        <v>46.5</v>
        <stp/>
        <stp>ASK</stp>
        <stp>TER</stp>
        <tr r="G439" s="1"/>
      </tp>
      <tp t="s">
        <v>instrument=DRI</v>
        <stp/>
        <stp>QUOTE_TREND</stp>
        <stp>DRI</stp>
        <tr r="D148" s="1"/>
      </tp>
      <tp t="s">
        <v>instrument=DPS</v>
        <stp/>
        <stp>QUOTE_TREND</stp>
        <stp>DPS</stp>
        <tr r="D147" s="1"/>
      </tp>
      <tp>
        <v>58.1</v>
        <stp/>
        <stp>ASK</stp>
        <stp>TGT</stp>
        <tr r="G440" s="1"/>
      </tp>
      <tp>
        <v>79.73</v>
        <stp/>
        <stp>ASK</stp>
        <stp>TAP</stp>
        <tr r="G434" s="1"/>
      </tp>
      <tp t="s">
        <v>instrument=DVA</v>
        <stp/>
        <stp>QUOTE_TREND</stp>
        <stp>DVA</stp>
        <tr r="D152" s="1"/>
      </tp>
      <tp t="s">
        <v>instrument=DVN</v>
        <stp/>
        <stp>QUOTE_TREND</stp>
        <stp>DVN</stp>
        <tr r="D153" s="1"/>
      </tp>
      <tp t="s">
        <v>instrument=DUK</v>
        <stp/>
        <stp>QUOTE_TREND</stp>
        <stp>DUK</stp>
        <tr r="D151" s="1"/>
      </tp>
      <tp t="s">
        <v>instrument=DTV</v>
        <stp/>
        <stp>QUOTE_TREND</stp>
        <stp>DTV</stp>
        <tr r="D150" s="1"/>
      </tp>
      <tp>
        <v>102</v>
        <stp/>
        <stp>BID</stp>
        <stp>WYN</stp>
        <tr r="F490" s="1"/>
      </tp>
      <tp t="s">
        <v>instrument=DTE</v>
        <stp/>
        <stp>QUOTE_TREND</stp>
        <stp>DTE</stp>
        <tr r="D149" s="1"/>
      </tp>
      <tp>
        <v>85.77</v>
        <stp/>
        <stp>ASK</stp>
        <stp>TMK</stp>
        <tr r="G444" s="1"/>
      </tp>
      <tp>
        <v>194.13</v>
        <stp/>
        <stp>ASK</stp>
        <stp>TMO</stp>
        <tr r="G445" s="1"/>
      </tp>
      <tp>
        <v>13.75</v>
        <stp/>
        <stp>ASK</stp>
        <stp>THC</stp>
        <tr r="G441" s="1"/>
      </tp>
      <tp>
        <v>96.5</v>
        <stp/>
        <stp>ASK</stp>
        <stp>TIF</stp>
        <tr r="G442" s="1"/>
      </tp>
      <tp>
        <v>78.05</v>
        <stp/>
        <stp>LOW</stp>
        <stp>YUM</stp>
        <tr r="M501" s="1"/>
      </tp>
      <tp t="s">
        <v>N/A</v>
        <stp/>
        <stp>BID</stp>
        <stp>WPO</stp>
        <tr r="F486" s="1"/>
      </tp>
      <tp>
        <v>12.31</v>
        <stp/>
        <stp>BID</stp>
        <stp>WPX</stp>
        <tr r="F487" s="1"/>
      </tp>
      <tp>
        <v>71.34</v>
        <stp/>
        <stp>ASK</stp>
        <stp>TJX</stp>
        <tr r="G443" s="1"/>
      </tp>
      <tp>
        <v>127.84</v>
        <stp/>
        <stp>BID</stp>
        <stp>WLP</stp>
        <tr r="F482" s="1"/>
      </tp>
      <tp>
        <v>210.51</v>
        <stp/>
        <stp>ASK</stp>
        <stp>TWC</stp>
        <tr r="G452" s="1"/>
      </tp>
      <tp>
        <v>27.17</v>
        <stp/>
        <stp>BID</stp>
        <stp>WMB</stp>
        <tr r="F484" s="1"/>
      </tp>
      <tp>
        <v>97.36</v>
        <stp/>
        <stp>BID</stp>
        <stp>WMT</stp>
        <tr r="F485" s="1"/>
      </tp>
      <tp>
        <v>88.9</v>
        <stp/>
        <stp>ASK</stp>
        <stp>TWX</stp>
        <tr r="G453" s="1"/>
      </tp>
      <tp t="s">
        <v>instrument=DGX</v>
        <stp/>
        <stp>QUOTE_TREND</stp>
        <stp>DGX</stp>
        <tr r="D135" s="1"/>
      </tp>
      <tp t="s">
        <v>instrument=DFS</v>
        <stp/>
        <stp>QUOTE_TREND</stp>
        <stp>DFS</stp>
        <tr r="D133" s="1"/>
      </tp>
      <tp>
        <v>131.4</v>
        <stp/>
        <stp>ASK</stp>
        <stp>TRV</stp>
        <tr r="G448" s="1"/>
      </tp>
      <tp>
        <v>159.44999999999999</v>
        <stp/>
        <stp>BID</stp>
        <stp>WHR</stp>
        <tr r="F480" s="1"/>
      </tp>
      <tp>
        <v>2.2000000000000002</v>
        <stp/>
        <stp>BID</stp>
        <stp>WIN</stp>
        <tr r="F481" s="1"/>
      </tp>
      <tp>
        <v>78.010000000000005</v>
        <stp/>
        <stp>ASK</stp>
        <stp>TSN</stp>
        <tr r="G449" s="1"/>
      </tp>
      <tp>
        <v>99.8</v>
        <stp/>
        <stp>ASK</stp>
        <stp>TSO</stp>
        <tr r="G450" s="1"/>
      </tp>
      <tp>
        <v>74.36</v>
        <stp/>
        <stp>ASK</stp>
        <stp>TSS</stp>
        <tr r="G451" s="1"/>
      </tp>
      <tp>
        <v>42</v>
        <stp/>
        <stp>BID</stp>
        <stp>WFM</stp>
        <tr r="F479" s="1"/>
      </tp>
      <tp>
        <v>54</v>
        <stp/>
        <stp>BID</stp>
        <stp>WFC</stp>
        <tr r="F478" s="1"/>
      </tp>
      <tp t="s">
        <v>instrument=DIS</v>
        <stp/>
        <stp>QUOTE_TREND</stp>
        <stp>DIS</stp>
        <tr r="D138" s="1"/>
      </tp>
      <tp>
        <v>91.3</v>
        <stp/>
        <stp>BID</stp>
        <stp>WDC</stp>
        <tr r="F476" s="1"/>
      </tp>
      <tp t="s">
        <v>instrument=DHR</v>
        <stp/>
        <stp>QUOTE_TREND</stp>
        <stp>DHR</stp>
        <tr r="D137" s="1"/>
      </tp>
      <tp>
        <v>67.7</v>
        <stp/>
        <stp>BID</stp>
        <stp>WEC</stp>
        <tr r="F477" s="1"/>
      </tp>
      <tp t="s">
        <v>instrument=DHI</v>
        <stp/>
        <stp>QUOTE_TREND</stp>
        <stp>DHI</stp>
        <tr r="D136" s="1"/>
      </tp>
      <tp t="s">
        <v>instrument=DOV</v>
        <stp/>
        <stp>QUOTE_TREND</stp>
        <stp>DOV</stp>
        <tr r="D145" s="1"/>
      </tp>
      <tp t="s">
        <v>instrument=DOW</v>
        <stp/>
        <stp>QUOTE_TREND</stp>
        <stp>DOW</stp>
        <tr r="D146" s="1"/>
      </tp>
      <tp>
        <v>99.74</v>
        <stp/>
        <stp>ASK</stp>
        <stp>TXN</stp>
        <tr r="G454" s="1"/>
      </tp>
      <tp>
        <v>54</v>
        <stp/>
        <stp>ASK</stp>
        <stp>TXT</stp>
        <tr r="G455" s="1"/>
      </tp>
      <tp>
        <v>45.56</v>
        <stp/>
        <stp>ASK</stp>
        <stp>TYC</stp>
        <tr r="G456" s="1"/>
      </tp>
      <tp t="s">
        <v>instrument=DNR</v>
        <stp/>
        <stp>QUOTE_TREND</stp>
        <stp>DNR</stp>
        <tr r="D143" s="1"/>
      </tp>
      <tp t="s">
        <v>instrument=DNB</v>
        <stp/>
        <stp>QUOTE_TREND</stp>
        <stp>DNB</stp>
        <tr r="D142" s="1"/>
      </tp>
      <tp>
        <v>148.47999999999999</v>
        <stp/>
        <stp>BID</stp>
        <stp>WAG</stp>
        <tr r="F474" s="1"/>
      </tp>
      <tp>
        <v>187.18</v>
        <stp/>
        <stp>BID</stp>
        <stp>WAT</stp>
        <tr r="F475" s="1"/>
      </tp>
      <tp>
        <v>133.16</v>
        <stp/>
        <stp>HIGH</stp>
        <stp>PNC</stp>
        <tr r="L372" s="1"/>
      </tp>
      <tp>
        <v>68.77</v>
        <stp/>
        <stp>HIGH</stp>
        <stp>PNR</stp>
        <tr r="L373" s="1"/>
      </tp>
      <tp>
        <v>91.14</v>
        <stp/>
        <stp>HIGH</stp>
        <stp>PNW</stp>
        <tr r="L374" s="1"/>
      </tp>
      <tp>
        <v>64.06</v>
        <stp/>
        <stp>52HIGH</stp>
        <stp>GIS</stp>
        <tr r="N201" s="1"/>
      </tp>
      <tp>
        <v>0</v>
        <stp/>
        <stp>HIGH</stp>
        <stp>POM</stp>
        <tr r="L375" s="1"/>
      </tp>
      <tp>
        <v>10.24</v>
        <stp/>
        <stp>BID</stp>
        <stp>SPLS</stp>
        <tr r="F419" s="1"/>
      </tp>
      <tp>
        <v>0</v>
        <stp/>
        <stp>HIGH</stp>
        <stp>PLL</stp>
        <tr r="L370" s="1"/>
      </tp>
      <tp>
        <v>66.84</v>
        <stp/>
        <stp>HIGH</stp>
        <stp>PLD</stp>
        <tr r="L369" s="1"/>
      </tp>
      <tp>
        <v>9.99</v>
        <stp/>
        <stp>BID</stp>
        <stp>APOL</stp>
        <tr r="F45" s="1"/>
      </tp>
      <tp>
        <v>94.07</v>
        <stp/>
        <stp>Last</stp>
        <stp>NTRS</stp>
        <tr r="B337" s="1"/>
      </tp>
      <tp>
        <v>26.844999999999999</v>
        <stp/>
        <stp>52HIGH</stp>
        <stp>GME</stp>
        <tr r="N203" s="1"/>
      </tp>
      <tp>
        <v>72.459999999999994</v>
        <stp/>
        <stp>HIGH</stp>
        <stp>PKI</stp>
        <tr r="L368" s="1"/>
      </tp>
      <tp>
        <v>72.91</v>
        <stp/>
        <stp>Last</stp>
        <stp>CTSH</stp>
        <tr r="B123" s="1"/>
      </tp>
      <tp>
        <v>32.325000000000003</v>
        <stp/>
        <stp>52HIGH</stp>
        <stp>GLW</stp>
        <tr r="N202" s="1"/>
      </tp>
      <tp>
        <v>32.450000000000003</v>
        <stp/>
        <stp>HIGH</stp>
        <stp>PHM</stp>
        <tr r="L367" s="1"/>
      </tp>
      <tp>
        <v>4.46</v>
        <stp/>
        <stp>52HIGH</stp>
        <stp>GNW</stp>
        <tr r="N204" s="1"/>
      </tp>
      <tp>
        <v>68.94</v>
        <stp/>
        <stp>HIGH</stp>
        <stp>PFG</stp>
        <tr r="L363" s="1"/>
      </tp>
      <tp>
        <v>35.49</v>
        <stp/>
        <stp>HIGH</stp>
        <stp>PFE</stp>
        <tr r="L362" s="1"/>
      </tp>
      <tp>
        <v>66.489999999999995</v>
        <stp/>
        <stp>52HIGH</stp>
        <stp>GAS</stp>
        <tr r="N196" s="1"/>
      </tp>
      <tp>
        <v>51.68</v>
        <stp/>
        <stp>HIGH</stp>
        <stp>PGR</stp>
        <tr r="L365" s="1"/>
      </tp>
      <tp>
        <v>148.04</v>
        <stp/>
        <stp>OPEN</stp>
        <stp>IFF</stp>
        <tr r="K237" s="1"/>
      </tp>
      <tp>
        <v>11.41</v>
        <stp/>
        <stp>52HIGH</stp>
        <stp>GCI</stp>
        <tr r="N197" s="1"/>
      </tp>
      <tp>
        <v>51.54</v>
        <stp/>
        <stp>HIGH</stp>
        <stp>PEG</stp>
        <tr r="L359" s="1"/>
      </tp>
      <tp>
        <v>28.72</v>
        <stp/>
        <stp>OPEN</stp>
        <stp>IGT</stp>
        <tr r="K238" s="1"/>
      </tp>
      <tp>
        <v>115.14</v>
        <stp/>
        <stp>HIGH</stp>
        <stp>PEP</stp>
        <tr r="L360" s="1"/>
      </tp>
      <tp>
        <v>10.01</v>
        <stp/>
        <stp>HIGH</stp>
        <stp>PBI</stp>
        <tr r="L352" s="1"/>
      </tp>
      <tp>
        <v>52.58</v>
        <stp/>
        <stp>52LOW</stp>
        <stp>SBUX</stp>
        <tr r="O404" s="1"/>
      </tp>
      <tp>
        <v>0</v>
        <stp/>
        <stp>HIGH</stp>
        <stp>PCL</stp>
        <tr r="L355" s="1"/>
      </tp>
      <tp>
        <v>55.25</v>
        <stp/>
        <stp>HIGH</stp>
        <stp>PCG</stp>
        <tr r="L354" s="1"/>
      </tp>
      <tp>
        <v>0</v>
        <stp/>
        <stp>HIGH</stp>
        <stp>PCP</stp>
        <tr r="L357" s="1"/>
      </tp>
      <tp>
        <v>86.51</v>
        <stp/>
        <stp>Last</stp>
        <stp>CTXS</stp>
        <tr r="B124" s="1"/>
      </tp>
      <tp>
        <v>149.34</v>
        <stp/>
        <stp>OPEN</stp>
        <stp>IBM</stp>
        <tr r="K235" s="1"/>
      </tp>
      <tp>
        <v>66.08</v>
        <stp/>
        <stp>OPEN</stp>
        <stp>ICE</stp>
        <tr r="K236" s="1"/>
      </tp>
      <tp>
        <v>44.18</v>
        <stp/>
        <stp>Last</stp>
        <stp>ETFC</stp>
        <tr r="B169" s="1"/>
      </tp>
      <tp>
        <v>153.29</v>
        <stp/>
        <stp>HIGH</stp>
        <stp>PXD</stp>
        <tr r="L385" s="1"/>
      </tp>
      <tp>
        <v>148.91999999999999</v>
        <stp/>
        <stp>Last</stp>
        <stp>CTAS</stp>
        <tr r="B121" s="1"/>
      </tp>
      <tp>
        <v>52.95</v>
        <stp/>
        <stp>Last</stp>
        <stp>NTAP</stp>
        <tr r="B336" s="1"/>
      </tp>
      <tp>
        <v>133.47</v>
        <stp/>
        <stp>HIGH</stp>
        <stp>PVH</stp>
        <tr r="L382" s="1"/>
      </tp>
      <tp>
        <v>156.97</v>
        <stp/>
        <stp>OPEN</stp>
        <stp>ITW</stp>
        <tr r="K246" s="1"/>
      </tp>
      <tp>
        <v>11.77</v>
        <stp/>
        <stp>52LOW</stp>
        <stp>HBAN</stp>
        <tr r="O215" s="1"/>
      </tp>
      <tp>
        <v>27.28</v>
        <stp/>
        <stp>52LOW</stp>
        <stp>EBAY</stp>
        <tr r="O155" s="1"/>
      </tp>
      <tp>
        <v>36.365000000000002</v>
        <stp/>
        <stp>HIGH</stp>
        <stp>PWR</stp>
        <tr r="L383" s="1"/>
      </tp>
      <tp>
        <v>100.9</v>
        <stp/>
        <stp>52HIGH</stp>
        <stp>GPC</stp>
        <tr r="N206" s="1"/>
      </tp>
      <tp>
        <v>30.74</v>
        <stp/>
        <stp>52HIGH</stp>
        <stp>GPS</stp>
        <tr r="N207" s="1"/>
      </tp>
      <tp>
        <v>34.43</v>
        <stp/>
        <stp>OPEN</stp>
        <stp>IVZ</stp>
        <tr r="K247" s="1"/>
      </tp>
      <tp>
        <v>210.75</v>
        <stp/>
        <stp>LOW</stp>
        <stp>NVDA</stp>
        <tr r="M340" s="1"/>
      </tp>
      <tp>
        <v>15.965</v>
        <stp/>
        <stp>52LOW</stp>
        <stp>PBCT</stp>
        <tr r="O351" s="1"/>
      </tp>
      <tp>
        <v>58.6</v>
        <stp/>
        <stp>52LOW</stp>
        <stp>ABBV</stp>
        <tr r="O7" s="1"/>
      </tp>
      <tp>
        <v>19.07</v>
        <stp/>
        <stp>52LOW</stp>
        <stp>BBBY</stp>
        <tr r="O56" s="1"/>
      </tp>
      <tp>
        <v>18.66</v>
        <stp/>
        <stp>OPEN</stp>
        <stp>IPG</stp>
        <tr r="K242" s="1"/>
      </tp>
      <tp>
        <v>110.955</v>
        <stp/>
        <stp>HIGH</stp>
        <stp>PRU</stp>
        <tr r="L379" s="1"/>
      </tp>
      <tp>
        <v>213.74</v>
        <stp/>
        <stp>HIGH</stp>
        <stp>PSA</stp>
        <tr r="L380" s="1"/>
      </tp>
      <tp>
        <v>93.19</v>
        <stp/>
        <stp>HIGH</stp>
        <stp>PSX</stp>
        <tr r="L381" s="1"/>
      </tp>
      <tp>
        <v>40.67</v>
        <stp/>
        <stp>OPEN</stp>
        <stp>IRM</stp>
        <tr r="K244" s="1"/>
      </tp>
      <tp>
        <v>36.44</v>
        <stp/>
        <stp>HIGH</stp>
        <stp>PPL</stp>
        <tr r="L377" s="1"/>
      </tp>
      <tp>
        <v>114.46</v>
        <stp/>
        <stp>HIGH</stp>
        <stp>PPG</stp>
        <tr r="L376" s="1"/>
      </tp>
      <tp>
        <v>262.71499999999997</v>
        <stp/>
        <stp>52HIGH</stp>
        <stp>GWW</stp>
        <tr r="N211" s="1"/>
      </tp>
      <tp t="s">
        <v>instrument=ESV</v>
        <stp/>
        <stp>QUOTE_TREND</stp>
        <stp>ESV</stp>
        <tr r="D168" s="1"/>
      </tp>
      <tp>
        <v>65.680000000000007</v>
        <stp/>
        <stp>LOW</stp>
        <stp>XYL</stp>
        <tr r="M499" s="1"/>
      </tp>
      <tp t="s">
        <v>instrument=EQT</v>
        <stp/>
        <stp>QUOTE_TREND</stp>
        <stp>EQT</stp>
        <tr r="D166" s="1"/>
      </tp>
      <tp t="s">
        <v>instrument=EQR</v>
        <stp/>
        <stp>QUOTE_TREND</stp>
        <stp>EQR</stp>
        <tr r="D165" s="1"/>
      </tp>
      <tp>
        <v>37</v>
        <stp/>
        <stp>OPEN</stp>
        <stp>CMCSA</stp>
        <tr r="K102" s="1"/>
      </tp>
      <tp t="s">
        <v>instrument=ETR</v>
        <stp/>
        <stp>QUOTE_TREND</stp>
        <stp>ETR</stp>
        <tr r="D171" s="1"/>
      </tp>
      <tp t="s">
        <v>instrument=ETN</v>
        <stp/>
        <stp>QUOTE_TREND</stp>
        <stp>ETN</stp>
        <tr r="D170" s="1"/>
      </tp>
      <tp>
        <v>28.07</v>
        <stp/>
        <stp>LOW</stp>
        <stp>XRX</stp>
        <tr r="M498" s="1"/>
      </tp>
      <tp>
        <v>210.96</v>
        <stp/>
        <stp>ASK</stp>
        <stp>UNH</stp>
        <tr r="G457" s="1"/>
      </tp>
      <tp>
        <v>54</v>
        <stp/>
        <stp>ASK</stp>
        <stp>UNM</stp>
        <tr r="G458" s="1"/>
      </tp>
      <tp>
        <v>116.29</v>
        <stp/>
        <stp>ASK</stp>
        <stp>UNP</stp>
        <tr r="G459" s="1"/>
      </tp>
      <tp>
        <v>61.92</v>
        <stp/>
        <stp>BID</stp>
        <stp>VTR</stp>
        <tr r="F472" s="1"/>
      </tp>
      <tp t="s">
        <v>instrument=EXC</v>
        <stp/>
        <stp>QUOTE_TREND</stp>
        <stp>EXC</stp>
        <tr r="D173" s="1"/>
      </tp>
      <tp>
        <v>72.62</v>
        <stp/>
        <stp>BID</stp>
        <stp>VNO</stp>
        <tr r="F470" s="1"/>
      </tp>
      <tp>
        <v>117.7</v>
        <stp/>
        <stp>ASK</stp>
        <stp>UTX</stp>
        <tr r="G463" s="1"/>
      </tp>
      <tp t="s">
        <v>instrument=ECL</v>
        <stp/>
        <stp>QUOTE_TREND</stp>
        <stp>ECL</stp>
        <tr r="D156" s="1"/>
      </tp>
      <tp>
        <v>82.68</v>
        <stp/>
        <stp>BID</stp>
        <stp>VLO</stp>
        <tr r="F468" s="1"/>
      </tp>
      <tp>
        <v>122.01</v>
        <stp/>
        <stp>BID</stp>
        <stp>VMC</stp>
        <tr r="F469" s="1"/>
      </tp>
      <tp>
        <v>114.45</v>
        <stp/>
        <stp>ASK</stp>
        <stp>UPS</stp>
        <tr r="G460" s="1"/>
      </tp>
      <tp t="s">
        <v>instrument=EFX</v>
        <stp/>
        <stp>QUOTE_TREND</stp>
        <stp>EFX</stp>
        <tr r="D158" s="1"/>
      </tp>
      <tp>
        <v>51.91</v>
        <stp/>
        <stp>ASK</stp>
        <stp>USB</stp>
        <tr r="G462" s="1"/>
      </tp>
      <tp>
        <v>80.16</v>
        <stp/>
        <stp>LOW</stp>
        <stp>XOM</stp>
        <tr r="M496" s="1"/>
      </tp>
      <tp>
        <v>68.63</v>
        <stp/>
        <stp>BID</stp>
        <stp>VFC</stp>
        <tr r="F466" s="1"/>
      </tp>
      <tp t="s">
        <v>instrument=EIX</v>
        <stp/>
        <stp>QUOTE_TREND</stp>
        <stp>EIX</stp>
        <tr r="D159" s="1"/>
      </tp>
      <tp t="s">
        <v>instrument=EOG</v>
        <stp/>
        <stp>QUOTE_TREND</stp>
        <stp>EOG</stp>
        <tr r="D164" s="1"/>
      </tp>
      <tp>
        <v>50.8</v>
        <stp/>
        <stp>LOW</stp>
        <stp>XEL</stp>
        <tr r="M493" s="1"/>
      </tp>
      <tp t="s">
        <v>instrument=EMR</v>
        <stp/>
        <stp>QUOTE_TREND</stp>
        <stp>EMR</stp>
        <tr r="D163" s="1"/>
      </tp>
      <tp t="s">
        <v>instrument=EMC</v>
        <stp/>
        <stp>QUOTE_TREND</stp>
        <stp>EMC</stp>
        <tr r="D161" s="1"/>
      </tp>
      <tp t="s">
        <v>instrument=EMN</v>
        <stp/>
        <stp>QUOTE_TREND</stp>
        <stp>EMN</stp>
        <tr r="D162" s="1"/>
      </tp>
      <tp>
        <v>103.09</v>
        <stp/>
        <stp>BID</stp>
        <stp>VAR</stp>
        <tr r="F465" s="1"/>
      </tp>
      <tp>
        <v>96.67</v>
        <stp/>
        <stp>52HIGH</stp>
        <stp>FIS</stp>
        <tr r="N184" s="1"/>
      </tp>
      <tp>
        <v>20.84</v>
        <stp/>
        <stp>52HIGH</stp>
        <stp>FHN</stp>
        <tr r="N183" s="1"/>
      </tp>
      <tp t="s">
        <v>N/A</v>
        <stp/>
        <stp>OPEN</stp>
        <stp>HNZ</stp>
        <tr r="K222" s="1"/>
      </tp>
      <tp>
        <v>146.38</v>
        <stp/>
        <stp>OPEN</stp>
        <stp>HON</stp>
        <tr r="K224" s="1"/>
      </tp>
      <tp>
        <v>47.82</v>
        <stp/>
        <stp>OPEN</stp>
        <stp>HOG</stp>
        <tr r="K223" s="1"/>
      </tp>
      <tp>
        <v>0</v>
        <stp/>
        <stp>OPEN</stp>
        <stp>HOT</stp>
        <tr r="K225" s="1"/>
      </tp>
      <tp>
        <v>56.09</v>
        <stp/>
        <stp>ASK</stp>
        <stp>AKAM</stp>
        <tr r="G28" s="1"/>
      </tp>
      <tp>
        <v>95.25</v>
        <stp/>
        <stp>52HIGH</stp>
        <stp>FMC</stp>
        <tr r="N190" s="1"/>
      </tp>
      <tp>
        <v>55.78</v>
        <stp/>
        <stp>OPEN</stp>
        <stp>HIG</stp>
        <tr r="K221" s="1"/>
      </tp>
      <tp>
        <v>52.1</v>
        <stp/>
        <stp>52HIGH</stp>
        <stp>FLS</stp>
        <tr r="N189" s="1"/>
      </tp>
      <tp>
        <v>58.37</v>
        <stp/>
        <stp>52HIGH</stp>
        <stp>FLR</stp>
        <tr r="N188" s="1"/>
      </tp>
      <tp>
        <v>148.91999999999999</v>
        <stp/>
        <stp>Mark</stp>
        <stp>CTAS</stp>
        <tr r="P121" s="1"/>
      </tp>
      <tp>
        <v>52.95</v>
        <stp/>
        <stp>Mark</stp>
        <stp>NTAP</stp>
        <tr r="P336" s="1"/>
      </tp>
      <tp>
        <v>44.36</v>
        <stp/>
        <stp>OPEN</stp>
        <stp>HES</stp>
        <tr r="K220" s="1"/>
      </tp>
      <tp>
        <v>17.059999999999999</v>
        <stp/>
        <stp>52HIGH</stp>
        <stp>FCX</stp>
        <tr r="N178" s="1"/>
      </tp>
      <tp>
        <v>8.8949999999999996</v>
        <stp/>
        <stp>HIGH</stp>
        <stp>QEP</stp>
        <tr r="L387" s="1"/>
      </tp>
      <tp>
        <v>41.65</v>
        <stp/>
        <stp>OPEN</stp>
        <stp>HAL</stp>
        <tr r="K212" s="1"/>
      </tp>
      <tp>
        <v>0</v>
        <stp/>
        <stp>OPEN</stp>
        <stp>HAR</stp>
        <tr r="K213" s="1"/>
      </tp>
      <tp>
        <v>96.07</v>
        <stp/>
        <stp>OPEN</stp>
        <stp>HAS</stp>
        <tr r="K214" s="1"/>
      </tp>
      <tp>
        <v>0</v>
        <stp/>
        <stp>52HIGH</stp>
        <stp>FDO</stp>
        <tr r="N179" s="1"/>
      </tp>
      <tp>
        <v>231.35</v>
        <stp/>
        <stp>52HIGH</stp>
        <stp>FDX</stp>
        <tr r="N180" s="1"/>
      </tp>
      <tp>
        <v>15.59</v>
        <stp/>
        <stp>LOW</stp>
        <stp>NWSA</stp>
        <tr r="M342" s="1"/>
      </tp>
      <tp>
        <v>67.790000000000006</v>
        <stp/>
        <stp>OPEN</stp>
        <stp>HCN</stp>
        <tr r="K217" s="1"/>
      </tp>
      <tp>
        <v>44.18</v>
        <stp/>
        <stp>Mark</stp>
        <stp>ETFC</stp>
        <tr r="P169" s="1"/>
      </tp>
      <tp>
        <v>26.75</v>
        <stp/>
        <stp>OPEN</stp>
        <stp>HCP</stp>
        <tr r="K218" s="1"/>
      </tp>
      <tp>
        <v>86.51</v>
        <stp/>
        <stp>Mark</stp>
        <stp>CTXS</stp>
        <tr r="P124" s="1"/>
      </tp>
      <tp>
        <v>60.77</v>
        <stp/>
        <stp>52LOW</stp>
        <stp>MCHP</stp>
        <tr r="O295" s="1"/>
      </tp>
      <tp>
        <v>36.35</v>
        <stp/>
        <stp>52LOW</stp>
        <stp>SCHW</stp>
        <tr r="O406" s="1"/>
      </tp>
      <tp>
        <v>1459.49</v>
        <stp/>
        <stp>52LOW</stp>
        <stp>PCLN</stp>
        <tr r="O356" s="1"/>
      </tp>
      <tp>
        <v>48.92</v>
        <stp/>
        <stp>52LOW</stp>
        <stp>QCOM</stp>
        <tr r="O386" s="1"/>
      </tp>
      <tp>
        <v>58.78</v>
        <stp/>
        <stp>52LOW</stp>
        <stp>PCAR</stp>
        <tr r="O353" s="1"/>
      </tp>
      <tp>
        <v>234.88</v>
        <stp/>
        <stp>OPEN</stp>
        <stp>HUM</stp>
        <tr r="K234" s="1"/>
      </tp>
      <tp>
        <v>72.91</v>
        <stp/>
        <stp>Mark</stp>
        <stp>CTSH</stp>
        <tr r="P123" s="1"/>
      </tp>
      <tp>
        <v>94.07</v>
        <stp/>
        <stp>Mark</stp>
        <stp>NTRS</stp>
        <tr r="P337" s="1"/>
      </tp>
      <tp t="s">
        <v>N/A</v>
        <stp/>
        <stp>52HIGH</stp>
        <stp>FRX</stp>
        <tr r="N192" s="1"/>
      </tp>
      <tp>
        <v>0</v>
        <stp/>
        <stp>52LOW</stp>
        <stp>HCBK</stp>
        <tr r="O216" s="1"/>
      </tp>
      <tp>
        <v>21.51</v>
        <stp/>
        <stp>OPEN</stp>
        <stp>HPQ</stp>
        <tr r="K227" s="1"/>
      </tp>
      <tp>
        <v>36.424999999999997</v>
        <stp/>
        <stp>52HIGH</stp>
        <stp>FTI</stp>
        <tr r="N194" s="1"/>
      </tp>
      <tp>
        <v>57.299712999999997</v>
        <stp/>
        <stp>52HIGH</stp>
        <stp>FTR</stp>
        <tr r="N195" s="1"/>
      </tp>
      <tp>
        <v>32.86</v>
        <stp/>
        <stp>OPEN</stp>
        <stp>HRL</stp>
        <tr r="K229" s="1"/>
      </tp>
      <tp>
        <v>25.76</v>
        <stp/>
        <stp>OPEN</stp>
        <stp>HRB</stp>
        <tr r="K228" s="1"/>
      </tp>
      <tp>
        <v>140.09</v>
        <stp/>
        <stp>OPEN</stp>
        <stp>HRS</stp>
        <tr r="K230" s="1"/>
      </tp>
      <tp>
        <v>109.28</v>
        <stp/>
        <stp>OPEN</stp>
        <stp>HSY</stp>
        <tr r="K233" s="1"/>
      </tp>
      <tp>
        <v>19.82</v>
        <stp/>
        <stp>OPEN</stp>
        <stp>HST</stp>
        <tr r="K232" s="1"/>
      </tp>
      <tp>
        <v>0</v>
        <stp/>
        <stp>OPEN</stp>
        <stp>HSP</stp>
        <tr r="K231" s="1"/>
      </tp>
      <tp>
        <v>0</v>
        <stp/>
        <stp>VOLUME</stp>
        <stp>ZMH</stp>
        <tr r="J503" s="1"/>
      </tp>
      <tp>
        <v>60.56</v>
        <stp/>
        <stp>ASK</stp>
        <stp>JEC</stp>
        <tr r="G252" s="1"/>
      </tp>
      <tp>
        <v>29.51</v>
        <stp/>
        <stp>ASK</stp>
        <stp>JBL</stp>
        <tr r="G248" s="1"/>
      </tp>
      <tp>
        <v>-0.72</v>
        <stp/>
        <stp>NET_CHANGE</stp>
        <stp>PAYX</stp>
        <tr r="E350" s="1"/>
      </tp>
      <tp>
        <v>36.409999999999997</v>
        <stp/>
        <stp>ASK</stp>
        <stp>JCI</stp>
        <tr r="G249" s="1"/>
      </tp>
      <tp>
        <v>3.29</v>
        <stp/>
        <stp>ASK</stp>
        <stp>JCP</stp>
        <tr r="G250" s="1"/>
      </tp>
      <tp>
        <v>28.850100000000001</v>
        <stp/>
        <stp>LOW</stp>
        <stp>GPS</stp>
        <tr r="M207" s="1"/>
      </tp>
      <tp>
        <v>34.5</v>
        <stp/>
        <stp>BID</stp>
        <stp>IVZ</stp>
        <tr r="F247" s="1"/>
      </tp>
      <tp>
        <v>85.8</v>
        <stp/>
        <stp>LOW</stp>
        <stp>GPC</stp>
        <tr r="M206" s="1"/>
      </tp>
      <tp>
        <v>138.02000000000001</v>
        <stp/>
        <stp>ASK</stp>
        <stp>JNJ</stp>
        <tr r="G253" s="1"/>
      </tp>
      <tp>
        <v>149.79</v>
        <stp/>
        <stp>BID</stp>
        <stp>ITW</stp>
        <tr r="F246" s="1"/>
      </tp>
      <tp>
        <v>28.31</v>
        <stp/>
        <stp>ASK</stp>
        <stp>JOY</stp>
        <tr r="G255" s="1"/>
      </tp>
      <tp>
        <v>38</v>
        <stp/>
        <stp>BID</stp>
        <stp>IRM</stp>
        <tr r="F244" s="1"/>
      </tp>
      <tp>
        <v>0</v>
        <stp/>
        <stp>NET_CHANGE</stp>
        <stp>FAST</stp>
        <tr r="E177" s="1"/>
      </tp>
      <tp>
        <v>19</v>
        <stp/>
        <stp>BID</stp>
        <stp>IPG</stp>
        <tr r="F242" s="1"/>
      </tp>
      <tp>
        <v>196.78</v>
        <stp/>
        <stp>LOW</stp>
        <stp>GWW</stp>
        <tr r="M211" s="1"/>
      </tp>
      <tp>
        <v>-0.95</v>
        <stp/>
        <stp>NET_CHANGE</stp>
        <stp>AAPL</stp>
        <tr r="E6" s="1"/>
      </tp>
      <tp>
        <v>53.38</v>
        <stp/>
        <stp>LOW</stp>
        <stp>GIS</stp>
        <tr r="M201" s="1"/>
      </tp>
      <tp>
        <v>41.25</v>
        <stp/>
        <stp>ASK</stp>
        <stp>JWN</stp>
        <tr r="G257" s="1"/>
      </tp>
      <tp>
        <v>31.49</v>
        <stp/>
        <stp>LOW</stp>
        <stp>GLW</stp>
        <tr r="M202" s="1"/>
      </tp>
      <tp>
        <v>98.14</v>
        <stp/>
        <stp>ASK</stp>
        <stp>JPM</stp>
        <tr r="G256" s="1"/>
      </tp>
      <tp>
        <v>16.149999999999999</v>
        <stp/>
        <stp>LOW</stp>
        <stp>GME</stp>
        <tr r="M203" s="1"/>
      </tp>
      <tp>
        <v>3.21</v>
        <stp/>
        <stp>LOW</stp>
        <stp>GNW</stp>
        <tr r="M204" s="1"/>
      </tp>
      <tp>
        <v>140.79</v>
        <stp/>
        <stp>BID</stp>
        <stp>IFF</stp>
        <tr r="F237" s="1"/>
      </tp>
      <tp>
        <v>0</v>
        <stp/>
        <stp>LOW</stp>
        <stp>GAS</stp>
        <tr r="M196" s="1"/>
      </tp>
      <tp>
        <v>27.11</v>
        <stp/>
        <stp>BID</stp>
        <stp>IGT</stp>
        <tr r="F238" s="1"/>
      </tp>
      <tp>
        <v>11.210100000000001</v>
        <stp/>
        <stp>LOW</stp>
        <stp>GCI</stp>
        <tr r="M197" s="1"/>
      </tp>
      <tp>
        <v>148.97</v>
        <stp/>
        <stp>BID</stp>
        <stp>IBM</stp>
        <tr r="F235" s="1"/>
      </tp>
      <tp>
        <v>65.180000000000007</v>
        <stp/>
        <stp>BID</stp>
        <stp>ICE</stp>
        <tr r="F236" s="1"/>
      </tp>
      <tp t="s">
        <v>instrument=ZMH</v>
        <stp/>
        <stp>QUOTE_TREND</stp>
        <stp>ZMH</stp>
        <tr r="D503" s="1"/>
      </tp>
      <tp>
        <v>0</v>
        <stp/>
        <stp>OPEN</stp>
        <stp>WLP</stp>
        <tr r="K482" s="1"/>
      </tp>
      <tp>
        <v>300.09469999999999</v>
        <stp/>
        <stp>HIGH</stp>
        <stp>NOC</stp>
        <tr r="L332" s="1"/>
      </tp>
      <tp>
        <v>27.03</v>
        <stp/>
        <stp>OPEN</stp>
        <stp>WMB</stp>
        <tr r="K484" s="1"/>
      </tp>
      <tp>
        <v>99.24</v>
        <stp/>
        <stp>OPEN</stp>
        <stp>WMT</stp>
        <tr r="K485" s="1"/>
      </tp>
      <tp>
        <v>32.155000000000001</v>
        <stp/>
        <stp>HIGH</stp>
        <stp>NOV</stp>
        <tr r="L333" s="1"/>
      </tp>
      <tp>
        <v>53.3</v>
        <stp/>
        <stp>ASK</stp>
        <stp>NTAP</stp>
        <tr r="G336" s="1"/>
      </tp>
      <tp>
        <v>150.49</v>
        <stp/>
        <stp>ASK</stp>
        <stp>CTAS</stp>
        <tr r="G121" s="1"/>
      </tp>
      <tp>
        <v>162.41999999999999</v>
        <stp/>
        <stp>OPEN</stp>
        <stp>WHR</stp>
        <tr r="K480" s="1"/>
      </tp>
      <tp>
        <v>44.99</v>
        <stp/>
        <stp>ASK</stp>
        <stp>ETFC</stp>
        <tr r="G169" s="1"/>
      </tp>
      <tp>
        <v>2.0499999999999998</v>
        <stp/>
        <stp>OPEN</stp>
        <stp>WIN</stp>
        <tr r="K481" s="1"/>
      </tp>
      <tp>
        <v>59.53</v>
        <stp/>
        <stp>HIGH</stp>
        <stp>NKE</stp>
        <tr r="L331" s="1"/>
      </tp>
      <tp>
        <v>91.17</v>
        <stp/>
        <stp>OPEN</stp>
        <stp>WDC</stp>
        <tr r="K476" s="1"/>
      </tp>
      <tp>
        <v>30.37</v>
        <stp/>
        <stp>HIGH</stp>
        <stp>NFX</stp>
        <tr r="L329" s="1"/>
      </tp>
      <tp>
        <v>55.44</v>
        <stp/>
        <stp>Mark</stp>
        <stp>AKAM</stp>
        <tr r="P28" s="1"/>
      </tp>
      <tp>
        <v>68.5</v>
        <stp/>
        <stp>OPEN</stp>
        <stp>WEC</stp>
        <tr r="K477" s="1"/>
      </tp>
      <tp>
        <v>76.2</v>
        <stp/>
        <stp>BID</stp>
        <stp>SNDK</stp>
        <tr r="F415" s="1"/>
      </tp>
      <tp>
        <v>0</v>
        <stp/>
        <stp>OPEN</stp>
        <stp>WFM</stp>
        <tr r="K479" s="1"/>
      </tp>
      <tp>
        <v>54.21</v>
        <stp/>
        <stp>OPEN</stp>
        <stp>WFC</stp>
        <tr r="K478" s="1"/>
      </tp>
      <tp>
        <v>36.32</v>
        <stp/>
        <stp>HIGH</stp>
        <stp>NEM</stp>
        <tr r="L327" s="1"/>
      </tp>
      <tp>
        <v>157.285</v>
        <stp/>
        <stp>HIGH</stp>
        <stp>NEE</stp>
        <tr r="L326" s="1"/>
      </tp>
      <tp>
        <v>26.11</v>
        <stp/>
        <stp>HIGH</stp>
        <stp>NBL</stp>
        <tr r="L322" s="1"/>
      </tp>
      <tp>
        <v>5.9</v>
        <stp/>
        <stp>HIGH</stp>
        <stp>NBR</stp>
        <tr r="L323" s="1"/>
      </tp>
      <tp>
        <v>77.52</v>
        <stp/>
        <stp>LOW</stp>
        <stp>CHRW</stp>
        <tr r="M95" s="1"/>
      </tp>
      <tp>
        <v>0</v>
        <stp/>
        <stp>OPEN</stp>
        <stp>WAG</stp>
        <tr r="K474" s="1"/>
      </tp>
      <tp>
        <v>198.6</v>
        <stp/>
        <stp>OPEN</stp>
        <stp>WAT</stp>
        <tr r="K475" s="1"/>
      </tp>
      <tp>
        <v>94.72</v>
        <stp/>
        <stp>ASK</stp>
        <stp>NTRS</stp>
        <tr r="G337" s="1"/>
      </tp>
      <tp>
        <v>73.61</v>
        <stp/>
        <stp>ASK</stp>
        <stp>CTSH</stp>
        <tr r="G123" s="1"/>
      </tp>
      <tp>
        <v>0</v>
        <stp/>
        <stp>LOW</stp>
        <stp>YHOO</stp>
        <tr r="M500" s="1"/>
      </tp>
      <tp t="s">
        <v>instrument=HCBK</v>
        <stp/>
        <stp>QUOTE_TREND</stp>
        <stp>HCBK</stp>
        <tr r="D216" s="1"/>
      </tp>
      <tp>
        <v>107.8</v>
        <stp/>
        <stp>OPEN</stp>
        <stp>WYN</stp>
        <tr r="K490" s="1"/>
      </tp>
      <tp t="s">
        <v>N/A</v>
        <stp/>
        <stp>HIGH</stp>
        <stp>NYX</stp>
        <tr r="L343" s="1"/>
      </tp>
      <tp t="s">
        <v>instrument=PCAR</v>
        <stp/>
        <stp>QUOTE_TREND</stp>
        <stp>PCAR</stp>
        <tr r="D353" s="1"/>
      </tp>
      <tp>
        <v>28.704999999999998</v>
        <stp/>
        <stp>HIGH</stp>
        <stp>NWL</stp>
        <tr r="L341" s="1"/>
      </tp>
      <tp>
        <v>44.63</v>
        <stp/>
        <stp>BID</stp>
        <stp>INTC</stp>
        <tr r="F239" s="1"/>
      </tp>
      <tp t="s">
        <v>instrument=QCOM</v>
        <stp/>
        <stp>QUOTE_TREND</stp>
        <stp>QCOM</stp>
        <tr r="D386" s="1"/>
      </tp>
      <tp>
        <v>156.6</v>
        <stp/>
        <stp>BID</stp>
        <stp>INTU</stp>
        <tr r="F240" s="1"/>
      </tp>
      <tp t="s">
        <v>instrument=PCLN</v>
        <stp/>
        <stp>QUOTE_TREND</stp>
        <stp>PCLN</stp>
        <tr r="D356" s="1"/>
      </tp>
      <tp>
        <v>86.91</v>
        <stp/>
        <stp>ASK</stp>
        <stp>CTXS</stp>
        <tr r="G124" s="1"/>
      </tp>
      <tp>
        <v>55.085000000000001</v>
        <stp/>
        <stp>HIGH</stp>
        <stp>NUE</stp>
        <tr r="L339" s="1"/>
      </tp>
      <tp t="s">
        <v>N/A</v>
        <stp/>
        <stp>OPEN</stp>
        <stp>WPO</stp>
        <tr r="K486" s="1"/>
      </tp>
      <tp>
        <v>29.65</v>
        <stp/>
        <stp>HIGH</stp>
        <stp>NRG</stp>
        <tr r="L334" s="1"/>
      </tp>
      <tp>
        <v>12.03</v>
        <stp/>
        <stp>OPEN</stp>
        <stp>WPX</stp>
        <tr r="K487" s="1"/>
      </tp>
      <tp>
        <v>81.650000000000006</v>
        <stp/>
        <stp>52HIGH</stp>
        <stp>YUM</stp>
        <tr r="N501" s="1"/>
      </tp>
      <tp>
        <v>129.44999999999999</v>
        <stp/>
        <stp>HIGH</stp>
        <stp>NSC</stp>
        <tr r="L335" s="1"/>
      </tp>
      <tp>
        <v>26.25</v>
        <stp/>
        <stp>BID</stp>
        <stp>JNPR</stp>
        <tr r="F254" s="1"/>
      </tp>
      <tp>
        <v>61.95</v>
        <stp/>
        <stp>BID</stp>
        <stp>MNST</stp>
        <tr r="F306" s="1"/>
      </tp>
      <tp t="s">
        <v>instrument=SCHW</v>
        <stp/>
        <stp>QUOTE_TREND</stp>
        <stp>SCHW</stp>
        <tr r="D406" s="1"/>
      </tp>
      <tp t="s">
        <v>instrument=MCHP</v>
        <stp/>
        <stp>QUOTE_TREND</stp>
        <stp>MCHP</stp>
        <tr r="D295" s="1"/>
      </tp>
      <tp>
        <v>1421562</v>
        <stp/>
        <stp>VOLUME</stp>
        <stp>ECL</stp>
        <tr r="J156" s="1"/>
      </tp>
      <tp t="s">
        <v>Range Bound</v>
        <stp/>
        <stp>STRENGTH_METER</stp>
        <stp>AXP</stp>
        <tr r="C51" s="1"/>
      </tp>
      <tp>
        <v>902198</v>
        <stp/>
        <stp>VOLUME</stp>
        <stp>EFX</stp>
        <tr r="J158" s="1"/>
      </tp>
      <tp t="s">
        <v>Range Bound</v>
        <stp/>
        <stp>STRENGTH_METER</stp>
        <stp>AZO</stp>
        <tr r="C52" s="1"/>
      </tp>
      <tp t="s">
        <v>Downtrend</v>
        <stp/>
        <stp>STRENGTH_METER</stp>
        <stp>ATI</stp>
        <tr r="C47" s="1"/>
      </tp>
      <tp>
        <v>1436025</v>
        <stp/>
        <stp>VOLUME</stp>
        <stp>EIX</stp>
        <tr r="J159" s="1"/>
      </tp>
      <tp t="s">
        <v>Range Bound</v>
        <stp/>
        <stp>STRENGTH_METER</stp>
        <stp>AVY</stp>
        <tr r="C50" s="1"/>
      </tp>
      <tp t="s">
        <v>Downtrend</v>
        <stp/>
        <stp>STRENGTH_METER</stp>
        <stp>AVP</stp>
        <tr r="C49" s="1"/>
      </tp>
      <tp t="s">
        <v>Range Bound</v>
        <stp/>
        <stp>STRENGTH_METER</stp>
        <stp>AVB</stp>
        <tr r="C48" s="1"/>
      </tp>
      <tp t="s">
        <v>Range Bound</v>
        <stp/>
        <stp>STRENGTH_METER</stp>
        <stp>APH</stp>
        <tr r="C44" s="1"/>
      </tp>
      <tp t="s">
        <v>Range Bound</v>
        <stp/>
        <stp>STRENGTH_METER</stp>
        <stp>APC</stp>
        <tr r="C42" s="1"/>
      </tp>
      <tp t="s">
        <v>Range Bound</v>
        <stp/>
        <stp>STRENGTH_METER</stp>
        <stp>APA</stp>
        <tr r="C41" s="1"/>
      </tp>
      <tp t="s">
        <v>Range Bound</v>
        <stp/>
        <stp>STRENGTH_METER</stp>
        <stp>APD</stp>
        <tr r="C43" s="1"/>
      </tp>
      <tp>
        <v>5089673</v>
        <stp/>
        <stp>VOLUME</stp>
        <stp>EMR</stp>
        <tr r="J163" s="1"/>
      </tp>
      <tp>
        <v>1590904</v>
        <stp/>
        <stp>VOLUME</stp>
        <stp>EMN</stp>
        <tr r="J162" s="1"/>
      </tp>
      <tp>
        <v>0</v>
        <stp/>
        <stp>VOLUME</stp>
        <stp>EMC</stp>
        <tr r="J161" s="1"/>
      </tp>
      <tp t="s">
        <v>Downtrend</v>
        <stp/>
        <stp>STRENGTH_METER</stp>
        <stp>ARG</stp>
        <tr r="C46" s="1"/>
      </tp>
      <tp>
        <v>2594277</v>
        <stp/>
        <stp>VOLUME</stp>
        <stp>EOG</stp>
        <tr r="J164" s="1"/>
      </tp>
      <tp t="s">
        <v>Range Bound</v>
        <stp/>
        <stp>STRENGTH_METER</stp>
        <stp>ALL</stp>
        <tr r="C29" s="1"/>
      </tp>
      <tp>
        <v>2701100</v>
        <stp/>
        <stp>VOLUME</stp>
        <stp>EQT</stp>
        <tr r="J166" s="1"/>
      </tp>
      <tp t="s">
        <v>Range Bound</v>
        <stp/>
        <stp>STRENGTH_METER</stp>
        <stp>AMP</stp>
        <tr r="C35" s="1"/>
      </tp>
      <tp>
        <v>1628533</v>
        <stp/>
        <stp>VOLUME</stp>
        <stp>EQR</stp>
        <tr r="J165" s="1"/>
      </tp>
      <tp t="s">
        <v>Range Bound</v>
        <stp/>
        <stp>STRENGTH_METER</stp>
        <stp>AMT</stp>
        <tr r="C36" s="1"/>
      </tp>
      <tp t="s">
        <v>Range Bound</v>
        <stp/>
        <stp>STRENGTH_METER</stp>
        <stp>AMD</stp>
        <tr r="C33" s="1"/>
      </tp>
      <tp t="s">
        <v>Range Bound</v>
        <stp/>
        <stp>STRENGTH_METER</stp>
        <stp>ANF</stp>
        <tr r="C39" s="1"/>
      </tp>
      <tp>
        <v>8027100</v>
        <stp/>
        <stp>VOLUME</stp>
        <stp>ESV</stp>
        <tr r="J168" s="1"/>
      </tp>
      <tp t="s">
        <v>Range Bound</v>
        <stp/>
        <stp>STRENGTH_METER</stp>
        <stp>AON</stp>
        <tr r="C40" s="1"/>
      </tp>
      <tp>
        <v>1215832</v>
        <stp/>
        <stp>VOLUME</stp>
        <stp>ETR</stp>
        <tr r="J171" s="1"/>
      </tp>
      <tp>
        <v>2900421</v>
        <stp/>
        <stp>VOLUME</stp>
        <stp>ETN</stp>
        <tr r="J170" s="1"/>
      </tp>
      <tp t="s">
        <v>Range Bound</v>
        <stp/>
        <stp>STRENGTH_METER</stp>
        <stp>AIZ</stp>
        <tr r="C27" s="1"/>
      </tp>
      <tp t="s">
        <v>Range Bound</v>
        <stp/>
        <stp>STRENGTH_METER</stp>
        <stp>AIV</stp>
        <tr r="C26" s="1"/>
      </tp>
      <tp t="s">
        <v>Range Bound</v>
        <stp/>
        <stp>STRENGTH_METER</stp>
        <stp>AIG</stp>
        <tr r="C25" s="1"/>
      </tp>
      <tp t="s">
        <v>Range Bound</v>
        <stp/>
        <stp>STRENGTH_METER</stp>
        <stp>ADP</stp>
        <tr r="C16" s="1"/>
      </tp>
      <tp t="s">
        <v>N/A</v>
        <stp/>
        <stp>STRENGTH_METER</stp>
        <stp>ADT</stp>
        <tr r="C18" s="1"/>
      </tp>
      <tp t="s">
        <v>Range Bound</v>
        <stp/>
        <stp>STRENGTH_METER</stp>
        <stp>ADI</stp>
        <tr r="C14" s="1"/>
      </tp>
      <tp t="s">
        <v>Range Bound</v>
        <stp/>
        <stp>STRENGTH_METER</stp>
        <stp>ADM</stp>
        <tr r="C15" s="1"/>
      </tp>
      <tp>
        <v>4720291</v>
        <stp/>
        <stp>VOLUME</stp>
        <stp>EXC</stp>
        <tr r="J173" s="1"/>
      </tp>
      <tp t="s">
        <v>Range Bound</v>
        <stp/>
        <stp>STRENGTH_METER</stp>
        <stp>AES</stp>
        <tr r="C21" s="1"/>
      </tp>
      <tp t="s">
        <v>Range Bound</v>
        <stp/>
        <stp>STRENGTH_METER</stp>
        <stp>AEP</stp>
        <tr r="C20" s="1"/>
      </tp>
      <tp t="s">
        <v>Range Bound</v>
        <stp/>
        <stp>STRENGTH_METER</stp>
        <stp>AET</stp>
        <tr r="C22" s="1"/>
      </tp>
      <tp t="s">
        <v>Range Bound</v>
        <stp/>
        <stp>STRENGTH_METER</stp>
        <stp>AEE</stp>
        <tr r="C19" s="1"/>
      </tp>
      <tp t="s">
        <v>Range Bound</v>
        <stp/>
        <stp>STRENGTH_METER</stp>
        <stp>AFL</stp>
        <tr r="C23" s="1"/>
      </tp>
      <tp t="s">
        <v>Range Bound</v>
        <stp/>
        <stp>STRENGTH_METER</stp>
        <stp>AGN</stp>
        <tr r="C24" s="1"/>
      </tp>
      <tp t="s">
        <v>Range Bound</v>
        <stp/>
        <stp>STRENGTH_METER</stp>
        <stp>ABT</stp>
        <tr r="C9" s="1"/>
      </tp>
      <tp t="s">
        <v>Range Bound</v>
        <stp/>
        <stp>STRENGTH_METER</stp>
        <stp>ABC</stp>
        <tr r="C8" s="1"/>
      </tp>
      <tp t="s">
        <v>N/A</v>
        <stp/>
        <stp>STRENGTH_METER</stp>
        <stp>ACT</stp>
        <tr r="C12" s="1"/>
      </tp>
      <tp t="s">
        <v>Range Bound</v>
        <stp/>
        <stp>STRENGTH_METER</stp>
        <stp>ACN</stp>
        <tr r="C11" s="1"/>
      </tp>
      <tp t="s">
        <v>N/A</v>
        <stp/>
        <stp>STRENGTH_METER</stp>
        <stp>ACE</stp>
        <tr r="C10" s="1"/>
      </tp>
      <tp>
        <v>18.32</v>
        <stp/>
        <stp>ASK</stp>
        <stp>KEY</stp>
        <tr r="G259" s="1"/>
      </tp>
      <tp>
        <v>114.46</v>
        <stp/>
        <stp>ASK</stp>
        <stp>KMB</stp>
        <tr r="G262" s="1"/>
      </tp>
      <tp>
        <v>16.989999999999998</v>
        <stp/>
        <stp>ASK</stp>
        <stp>KMI</stp>
        <tr r="G263" s="1"/>
      </tp>
      <tp>
        <v>70.7</v>
        <stp/>
        <stp>ASK</stp>
        <stp>KMX</stp>
        <tr r="G264" s="1"/>
      </tp>
      <tp t="s">
        <v>N/A</v>
        <stp/>
        <stp>LOW</stp>
        <stp>FRX</stp>
        <tr r="M192" s="1"/>
      </tp>
      <tp>
        <v>232</v>
        <stp/>
        <stp>BID</stp>
        <stp>HUM</stp>
        <tr r="F234" s="1"/>
      </tp>
      <tp>
        <v>31</v>
        <stp/>
        <stp>BID</stp>
        <stp>HRL</stp>
        <tr r="F229" s="1"/>
      </tp>
      <tp>
        <v>6.63</v>
        <stp/>
        <stp>LOW</stp>
        <stp>FTR</stp>
        <tr r="M195" s="1"/>
      </tp>
      <tp>
        <v>25.64</v>
        <stp/>
        <stp>BID</stp>
        <stp>HRB</stp>
        <tr r="F228" s="1"/>
      </tp>
      <tp>
        <v>26.51</v>
        <stp/>
        <stp>LOW</stp>
        <stp>FTI</stp>
        <tr r="M194" s="1"/>
      </tp>
      <tp>
        <v>131.87</v>
        <stp/>
        <stp>BID</stp>
        <stp>HRS</stp>
        <tr r="F230" s="1"/>
      </tp>
      <tp>
        <v>19.38</v>
        <stp/>
        <stp>ASK</stp>
        <stp>KIM</stp>
        <tr r="G260" s="1"/>
      </tp>
      <tp>
        <v>106</v>
        <stp/>
        <stp>BID</stp>
        <stp>HSY</stp>
        <tr r="F233" s="1"/>
      </tp>
      <tp>
        <v>19.850000000000001</v>
        <stp/>
        <stp>BID</stp>
        <stp>HST</stp>
        <tr r="F232" s="1"/>
      </tp>
      <tp>
        <v>102.09</v>
        <stp/>
        <stp>BID</stp>
        <stp>HSP</stp>
        <tr r="F231" s="1"/>
      </tp>
      <tp>
        <v>21.69</v>
        <stp/>
        <stp>BID</stp>
        <stp>HPQ</stp>
        <tr r="F227" s="1"/>
      </tp>
      <tp>
        <v>18.14</v>
        <stp/>
        <stp>LOW</stp>
        <stp>FHN</stp>
        <tr r="M183" s="1"/>
      </tp>
      <tp t="s">
        <v>N/A</v>
        <stp/>
        <stp>BID</stp>
        <stp>HNZ</stp>
        <tr r="F222" s="1"/>
      </tp>
      <tp>
        <v>145.5</v>
        <stp/>
        <stp>BID</stp>
        <stp>HON</stp>
        <tr r="F224" s="1"/>
      </tp>
      <tp>
        <v>46.6</v>
        <stp/>
        <stp>BID</stp>
        <stp>HOG</stp>
        <tr r="F223" s="1"/>
      </tp>
      <tp>
        <v>91.83</v>
        <stp/>
        <stp>LOW</stp>
        <stp>FIS</stp>
        <tr r="M184" s="1"/>
      </tp>
      <tp>
        <v>76.56</v>
        <stp/>
        <stp>BID</stp>
        <stp>HOT</stp>
        <tr r="F225" s="1"/>
      </tp>
      <tp>
        <v>46.38</v>
        <stp/>
        <stp>LOW</stp>
        <stp>FLR</stp>
        <tr r="M188" s="1"/>
      </tp>
      <tp>
        <v>38.76</v>
        <stp/>
        <stp>LOW</stp>
        <stp>FLS</stp>
        <tr r="M189" s="1"/>
      </tp>
      <tp>
        <v>92.76</v>
        <stp/>
        <stp>LOW</stp>
        <stp>FMC</stp>
        <tr r="M190" s="1"/>
      </tp>
      <tp>
        <v>54</v>
        <stp/>
        <stp>BID</stp>
        <stp>HIG</stp>
        <tr r="F221" s="1"/>
      </tp>
      <tp>
        <v>43.7</v>
        <stp/>
        <stp>ASK</stp>
        <stp>KSS</stp>
        <tr r="G268" s="1"/>
      </tp>
      <tp>
        <v>13.5</v>
        <stp/>
        <stp>LOW</stp>
        <stp>FCX</stp>
        <tr r="M178" s="1"/>
      </tp>
      <tp>
        <v>44.56</v>
        <stp/>
        <stp>BID</stp>
        <stp>HES</stp>
        <tr r="F220" s="1"/>
      </tp>
      <tp>
        <v>215.86</v>
        <stp/>
        <stp>LOW</stp>
        <stp>FDX</stp>
        <tr r="M180" s="1"/>
      </tp>
      <tp>
        <v>0</v>
        <stp/>
        <stp>LOW</stp>
        <stp>FDO</stp>
        <tr r="M179" s="1"/>
      </tp>
      <tp>
        <v>67.2</v>
        <stp/>
        <stp>BID</stp>
        <stp>HCN</stp>
        <tr r="F217" s="1"/>
      </tp>
      <tp>
        <v>26.77</v>
        <stp/>
        <stp>BID</stp>
        <stp>HCP</stp>
        <tr r="F218" s="1"/>
      </tp>
      <tp>
        <v>41.64</v>
        <stp/>
        <stp>BID</stp>
        <stp>HAL</stp>
        <tr r="F212" s="1"/>
      </tp>
      <tp>
        <v>95.51</v>
        <stp/>
        <stp>BID</stp>
        <stp>HAS</stp>
        <tr r="F214" s="1"/>
      </tp>
      <tp>
        <v>111.97</v>
        <stp/>
        <stp>BID</stp>
        <stp>HAR</stp>
        <tr r="F213" s="1"/>
      </tp>
      <tp>
        <v>81.849999999999994</v>
        <stp/>
        <stp>OPEN</stp>
        <stp>VLO</stp>
        <tr r="K468" s="1"/>
      </tp>
      <tp>
        <v>123.26</v>
        <stp/>
        <stp>OPEN</stp>
        <stp>VMC</stp>
        <tr r="K469" s="1"/>
      </tp>
      <tp t="s">
        <v>N/A</v>
        <stp/>
        <stp>BID</stp>
        <stp>MOLX</stp>
        <tr r="F308" s="1"/>
      </tp>
      <tp>
        <v>76.569999999999993</v>
        <stp/>
        <stp>OPEN</stp>
        <stp>VNO</stp>
        <tr r="K470" s="1"/>
      </tp>
      <tp>
        <v>1019</v>
        <stp/>
        <stp>BID</stp>
        <stp>GOOG</stp>
        <tr r="F205" s="1"/>
      </tp>
      <tp>
        <v>69.56</v>
        <stp/>
        <stp>HIGH</stp>
        <stp>OMC</stp>
        <tr r="L346" s="1"/>
      </tp>
      <tp t="s">
        <v>instrument=SBUX</v>
        <stp/>
        <stp>QUOTE_TREND</stp>
        <stp>SBUX</stp>
        <tr r="D404" s="1"/>
      </tp>
      <tp>
        <v>50.77</v>
        <stp/>
        <stp>HIGH</stp>
        <stp>OKE</stp>
        <tr r="L345" s="1"/>
      </tp>
      <tp>
        <v>93.215000000000003</v>
        <stp/>
        <stp>52HIGH</stp>
        <stp>XOM</stp>
        <tr r="N496" s="1"/>
      </tp>
      <tp>
        <v>70.55</v>
        <stp/>
        <stp>OPEN</stp>
        <stp>VFC</stp>
        <tr r="K466" s="1"/>
      </tp>
      <tp>
        <v>28.13</v>
        <stp/>
        <stp>LOW</stp>
        <stp>FITB</stp>
        <tr r="M186" s="1"/>
      </tp>
      <tp>
        <v>52.22</v>
        <stp/>
        <stp>52HIGH</stp>
        <stp>XEL</stp>
        <tr r="N493" s="1"/>
      </tp>
      <tp>
        <v>108.9</v>
        <stp/>
        <stp>OPEN</stp>
        <stp>VAR</stp>
        <tr r="K465" s="1"/>
      </tp>
      <tp>
        <v>127.92</v>
        <stp/>
        <stp>LOW</stp>
        <stp>FISV</stp>
        <tr r="M185" s="1"/>
      </tp>
      <tp>
        <v>67.64</v>
        <stp/>
        <stp>52HIGH</stp>
        <stp>XYL</stp>
        <tr r="N499" s="1"/>
      </tp>
      <tp>
        <v>73.16</v>
        <stp/>
        <stp>LOW</stp>
        <stp>CINF</stp>
        <tr r="M97" s="1"/>
      </tp>
      <tp>
        <v>45.63</v>
        <stp/>
        <stp>LOW</stp>
        <stp>ZION</stp>
        <tr r="M502" s="1"/>
      </tp>
      <tp>
        <v>72.12</v>
        <stp/>
        <stp>LOW</stp>
        <stp>GILD</stp>
        <tr r="M200" s="1"/>
      </tp>
      <tp t="s">
        <v>instrument=BBBY</v>
        <stp/>
        <stp>QUOTE_TREND</stp>
        <stp>BBBY</stp>
        <tr r="D56" s="1"/>
      </tp>
      <tp t="s">
        <v>instrument=ABBV</v>
        <stp/>
        <stp>QUOTE_TREND</stp>
        <stp>ABBV</stp>
        <tr r="D7" s="1"/>
      </tp>
      <tp t="s">
        <v>instrument=PBCT</v>
        <stp/>
        <stp>QUOTE_TREND</stp>
        <stp>PBCT</stp>
        <tr r="D351" s="1"/>
      </tp>
      <tp>
        <v>68.790000000000006</v>
        <stp/>
        <stp>HIGH</stp>
        <stp>OXY</stp>
        <tr r="L349" s="1"/>
      </tp>
      <tp>
        <v>55.44</v>
        <stp/>
        <stp>Last</stp>
        <stp>AKAM</stp>
        <tr r="B28" s="1"/>
      </tp>
      <tp t="s">
        <v>instrument=HBAN</v>
        <stp/>
        <stp>QUOTE_TREND</stp>
        <stp>HBAN</stp>
        <tr r="D215" s="1"/>
      </tp>
      <tp>
        <v>310.18</v>
        <stp/>
        <stp>LOW</stp>
        <stp>BIIB</stp>
        <tr r="M65" s="1"/>
      </tp>
      <tp t="s">
        <v>instrument=EBAY</v>
        <stp/>
        <stp>QUOTE_TREND</stp>
        <stp>EBAY</stp>
        <tr r="D155" s="1"/>
      </tp>
      <tp>
        <v>64.27</v>
        <stp/>
        <stp>OPEN</stp>
        <stp>VTR</stp>
        <tr r="K472" s="1"/>
      </tp>
      <tp>
        <v>3.75</v>
        <stp/>
        <stp>LOW</stp>
        <stp>LIFE</stp>
        <tr r="M273" s="1"/>
      </tp>
      <tp>
        <v>34.130000000000003</v>
        <stp/>
        <stp>52HIGH</stp>
        <stp>XRX</stp>
        <tr r="N498" s="1"/>
      </tp>
      <tp>
        <v>7.71</v>
        <stp/>
        <stp>BID</stp>
        <stp>FOSL</stp>
        <tr r="F191" s="1"/>
      </tp>
      <tp>
        <v>71.75</v>
        <stp/>
        <stp>BID</stp>
        <stp>ROST</stp>
        <tr r="F398" s="1"/>
      </tp>
      <tp>
        <v>170.28</v>
        <stp/>
        <stp>BID</stp>
        <stp>COST</stp>
        <tr r="F114" s="1"/>
      </tp>
      <tp>
        <v>23.91</v>
        <stp/>
        <stp>LOW</stp>
        <stp>VIAB</stp>
        <tr r="M467" s="1"/>
      </tp>
      <tp>
        <v>0</v>
        <stp/>
        <stp>LOW</stp>
        <stp>SIAL</stp>
        <tr r="M410" s="1"/>
      </tp>
      <tp>
        <v>1487895</v>
        <stp/>
        <stp>VOLUME</stp>
        <stp>DFS</stp>
        <tr r="J133" s="1"/>
      </tp>
      <tp>
        <v>2007921</v>
        <stp/>
        <stp>VOLUME</stp>
        <stp>DGX</stp>
        <tr r="J135" s="1"/>
      </tp>
      <tp>
        <v>1458185</v>
        <stp/>
        <stp>VOLUME</stp>
        <stp>DHR</stp>
        <tr r="J137" s="1"/>
      </tp>
      <tp>
        <v>3011998</v>
        <stp/>
        <stp>VOLUME</stp>
        <stp>DHI</stp>
        <tr r="J136" s="1"/>
      </tp>
      <tp>
        <v>7435926</v>
        <stp/>
        <stp>VOLUME</stp>
        <stp>DIS</stp>
        <tr r="J138" s="1"/>
      </tp>
      <tp>
        <v>5292857</v>
        <stp/>
        <stp>VOLUME</stp>
        <stp>DNR</stp>
        <tr r="J143" s="1"/>
      </tp>
      <tp>
        <v>163695</v>
        <stp/>
        <stp>VOLUME</stp>
        <stp>DNB</stp>
        <tr r="J142" s="1"/>
      </tp>
      <tp>
        <v>0</v>
        <stp/>
        <stp>VOLUME</stp>
        <stp>DOW</stp>
        <tr r="J146" s="1"/>
      </tp>
      <tp>
        <v>944832</v>
        <stp/>
        <stp>VOLUME</stp>
        <stp>DOV</stp>
        <tr r="J145" s="1"/>
      </tp>
      <tp>
        <v>663030</v>
        <stp/>
        <stp>VOLUME</stp>
        <stp>DPS</stp>
        <tr r="J147" s="1"/>
      </tp>
      <tp>
        <v>686275</v>
        <stp/>
        <stp>VOLUME</stp>
        <stp>DRI</stp>
        <tr r="J148" s="1"/>
      </tp>
      <tp>
        <v>2855</v>
        <stp/>
        <stp>VOLUME</stp>
        <stp>DTV</stp>
        <tr r="J150" s="1"/>
      </tp>
      <tp>
        <v>968891</v>
        <stp/>
        <stp>VOLUME</stp>
        <stp>DTE</stp>
        <tr r="J149" s="1"/>
      </tp>
      <tp>
        <v>2650206</v>
        <stp/>
        <stp>VOLUME</stp>
        <stp>DUK</stp>
        <tr r="J151" s="1"/>
      </tp>
      <tp>
        <v>3247778</v>
        <stp/>
        <stp>VOLUME</stp>
        <stp>DVN</stp>
        <tr r="J153" s="1"/>
      </tp>
      <tp>
        <v>1669741</v>
        <stp/>
        <stp>VOLUME</stp>
        <stp>DVA</stp>
        <tr r="J152" s="1"/>
      </tp>
      <tp>
        <v>41.06</v>
        <stp/>
        <stp>LOW</stp>
        <stp>EXC</stp>
        <tr r="M173" s="1"/>
      </tp>
      <tp t="s">
        <v>instrument=XRX</v>
        <stp/>
        <stp>QUOTE_TREND</stp>
        <stp>XRX</stp>
        <tr r="D498" s="1"/>
      </tp>
      <tp>
        <v>44.98</v>
        <stp/>
        <stp>ASK</stp>
        <stp>HES</stp>
        <tr r="G220" s="1"/>
      </tp>
      <tp>
        <v>41.82</v>
        <stp/>
        <stp>ASK</stp>
        <stp>HAL</stp>
        <tr r="G212" s="1"/>
      </tp>
      <tp>
        <v>129.19</v>
        <stp/>
        <stp>ASK</stp>
        <stp>HAR</stp>
        <tr r="G213" s="1"/>
      </tp>
      <tp>
        <v>95.89</v>
        <stp/>
        <stp>ASK</stp>
        <stp>HAS</stp>
        <tr r="G214" s="1"/>
      </tp>
      <tp>
        <v>67.989999999999995</v>
        <stp/>
        <stp>ASK</stp>
        <stp>HCN</stp>
        <tr r="G217" s="1"/>
      </tp>
      <tp>
        <v>26.84</v>
        <stp/>
        <stp>ASK</stp>
        <stp>HCP</stp>
        <tr r="G218" s="1"/>
      </tp>
      <tp>
        <v>58.76</v>
        <stp/>
        <stp>LOW</stp>
        <stp>EQT</stp>
        <tr r="M166" s="1"/>
      </tp>
      <tp>
        <v>68.17</v>
        <stp/>
        <stp>LOW</stp>
        <stp>EQR</stp>
        <tr r="M165" s="1"/>
      </tp>
      <tp t="s">
        <v>N/A</v>
        <stp/>
        <stp>ASK</stp>
        <stp>HNZ</stp>
        <tr r="G222" s="1"/>
      </tp>
      <tp t="s">
        <v>instrument=XYL</v>
        <stp/>
        <stp>QUOTE_TREND</stp>
        <stp>XYL</stp>
        <tr r="D499" s="1"/>
      </tp>
      <tp>
        <v>47.54</v>
        <stp/>
        <stp>ASK</stp>
        <stp>HOG</stp>
        <tr r="G223" s="1"/>
      </tp>
      <tp>
        <v>5.37</v>
        <stp/>
        <stp>LOW</stp>
        <stp>ESV</stp>
        <tr r="M168" s="1"/>
      </tp>
      <tp>
        <v>147.16999999999999</v>
        <stp/>
        <stp>ASK</stp>
        <stp>HON</stp>
        <tr r="G224" s="1"/>
      </tp>
      <tp>
        <v>78.95</v>
        <stp/>
        <stp>ASK</stp>
        <stp>HOT</stp>
        <tr r="G225" s="1"/>
      </tp>
      <tp>
        <v>85.66</v>
        <stp/>
        <stp>LOW</stp>
        <stp>ETR</stp>
        <tr r="M171" s="1"/>
      </tp>
      <tp>
        <v>75.42</v>
        <stp/>
        <stp>LOW</stp>
        <stp>ETN</stp>
        <tr r="M170" s="1"/>
      </tp>
      <tp>
        <v>58</v>
        <stp/>
        <stp>ASK</stp>
        <stp>HIG</stp>
        <tr r="G221" s="1"/>
      </tp>
      <tp>
        <v>43.5</v>
        <stp/>
        <stp>BID</stp>
        <stp>KSS</stp>
        <tr r="F268" s="1"/>
      </tp>
      <tp>
        <v>0.61</v>
        <stp/>
        <stp>NET_CHANGE</stp>
        <stp>QCOM</stp>
        <tr r="E386" s="1"/>
      </tp>
      <tp>
        <v>80.760000000000005</v>
        <stp/>
        <stp>LOW</stp>
        <stp>EIX</stp>
        <tr r="M159" s="1"/>
      </tp>
      <tp>
        <v>242.73</v>
        <stp/>
        <stp>ASK</stp>
        <stp>HUM</stp>
        <tr r="G234" s="1"/>
      </tp>
      <tp>
        <v>16.95</v>
        <stp/>
        <stp>BID</stp>
        <stp>KMI</stp>
        <tr r="F263" s="1"/>
      </tp>
      <tp>
        <v>112</v>
        <stp/>
        <stp>BID</stp>
        <stp>KMB</stp>
        <tr r="F262" s="1"/>
      </tp>
      <tp>
        <v>63.33</v>
        <stp/>
        <stp>BID</stp>
        <stp>KMX</stp>
        <tr r="F264" s="1"/>
      </tp>
      <tp>
        <v>15.57</v>
        <stp/>
        <stp>NET_CHANGE</stp>
        <stp>PCLN</stp>
        <tr r="E356" s="1"/>
      </tp>
      <tp>
        <v>21.76</v>
        <stp/>
        <stp>ASK</stp>
        <stp>HPQ</stp>
        <tr r="G227" s="1"/>
      </tp>
      <tp>
        <v>58.69</v>
        <stp/>
        <stp>LOW</stp>
        <stp>EMR</stp>
        <tr r="M163" s="1"/>
      </tp>
      <tp>
        <v>89.3</v>
        <stp/>
        <stp>LOW</stp>
        <stp>EMN</stp>
        <tr r="M162" s="1"/>
      </tp>
      <tp>
        <v>0</v>
        <stp/>
        <stp>LOW</stp>
        <stp>EMC</stp>
        <tr r="M161" s="1"/>
      </tp>
      <tp>
        <v>26.15</v>
        <stp/>
        <stp>ASK</stp>
        <stp>HRB</stp>
        <tr r="G228" s="1"/>
      </tp>
      <tp>
        <v>33.35</v>
        <stp/>
        <stp>ASK</stp>
        <stp>HRL</stp>
        <tr r="G229" s="1"/>
      </tp>
      <tp>
        <v>147.79</v>
        <stp/>
        <stp>ASK</stp>
        <stp>HRS</stp>
        <tr r="G230" s="1"/>
      </tp>
      <tp t="s">
        <v>instrument=XEL</v>
        <stp/>
        <stp>QUOTE_TREND</stp>
        <stp>XEL</stp>
        <tr r="D493" s="1"/>
      </tp>
      <tp>
        <v>19.32</v>
        <stp/>
        <stp>BID</stp>
        <stp>KIM</stp>
        <tr r="F260" s="1"/>
      </tp>
      <tp>
        <v>148.47999999999999</v>
        <stp/>
        <stp>ASK</stp>
        <stp>HSP</stp>
        <tr r="G231" s="1"/>
      </tp>
      <tp>
        <v>19.91</v>
        <stp/>
        <stp>ASK</stp>
        <stp>HST</stp>
        <tr r="G232" s="1"/>
      </tp>
      <tp>
        <v>101.11</v>
        <stp/>
        <stp>LOW</stp>
        <stp>EOG</stp>
        <tr r="M164" s="1"/>
      </tp>
      <tp>
        <v>109.09</v>
        <stp/>
        <stp>ASK</stp>
        <stp>HSY</stp>
        <tr r="G233" s="1"/>
      </tp>
      <tp>
        <v>0.52</v>
        <stp/>
        <stp>NET_CHANGE</stp>
        <stp>MCHP</stp>
        <tr r="E295" s="1"/>
      </tp>
      <tp>
        <v>0.04</v>
        <stp/>
        <stp>NET_CHANGE</stp>
        <stp>SCHW</stp>
        <tr r="E406" s="1"/>
      </tp>
      <tp>
        <v>130.83500000000001</v>
        <stp/>
        <stp>LOW</stp>
        <stp>ECL</stp>
        <tr r="M156" s="1"/>
      </tp>
      <tp>
        <v>18.25</v>
        <stp/>
        <stp>BID</stp>
        <stp>KEY</stp>
        <tr r="F259" s="1"/>
      </tp>
      <tp t="s">
        <v>instrument=XOM</v>
        <stp/>
        <stp>QUOTE_TREND</stp>
        <stp>XOM</stp>
        <tr r="D496" s="1"/>
      </tp>
      <tp>
        <v>0</v>
        <stp/>
        <stp>NET_CHANGE</stp>
        <stp>HCBK</stp>
        <tr r="E216" s="1"/>
      </tp>
      <tp>
        <v>109.02</v>
        <stp/>
        <stp>LOW</stp>
        <stp>EFX</stp>
        <tr r="M158" s="1"/>
      </tp>
      <tp>
        <v>-3.01</v>
        <stp/>
        <stp>NET_CHANGE</stp>
        <stp>PCAR</stp>
        <tr r="E353" s="1"/>
      </tp>
      <tp>
        <v>74.739999999999995</v>
        <stp/>
        <stp>HIGH</stp>
        <stp>LNC</stp>
        <tr r="L279" s="1"/>
      </tp>
      <tp>
        <v>313.89999999999998</v>
        <stp/>
        <stp>Mark</stp>
        <stp>BIIB</stp>
        <tr r="P65" s="1"/>
      </tp>
      <tp>
        <v>80.495000000000005</v>
        <stp/>
        <stp>HIGH</stp>
        <stp>LOW</stp>
        <tr r="L281" s="1"/>
      </tp>
      <tp>
        <v>53.02</v>
        <stp/>
        <stp>OPEN</stp>
        <stp>UNM</stp>
        <tr r="K458" s="1"/>
      </tp>
      <tp>
        <v>210.46</v>
        <stp/>
        <stp>OPEN</stp>
        <stp>UNH</stp>
        <tr r="K457" s="1"/>
      </tp>
      <tp>
        <v>186.25</v>
        <stp/>
        <stp>HIGH</stp>
        <stp>LLL</stp>
        <tr r="L274" s="1"/>
      </tp>
      <tp>
        <v>83.48</v>
        <stp/>
        <stp>HIGH</stp>
        <stp>LLY</stp>
        <tr r="L276" s="1"/>
      </tp>
      <tp>
        <v>116.07</v>
        <stp/>
        <stp>OPEN</stp>
        <stp>UNP</stp>
        <tr r="K459" s="1"/>
      </tp>
      <tp>
        <v>312.43</v>
        <stp/>
        <stp>HIGH</stp>
        <stp>LMT</stp>
        <tr r="L278" s="1"/>
      </tp>
      <tp>
        <v>71.099999999999994</v>
        <stp/>
        <stp>BID</stp>
        <stp>XLNX</stp>
        <tr r="F495" s="1"/>
      </tp>
      <tp>
        <v>78.44</v>
        <stp/>
        <stp>Last</stp>
        <stp>CHRW</stp>
        <tr r="B95" s="1"/>
      </tp>
      <tp>
        <v>46</v>
        <stp/>
        <stp>BID</stp>
        <stp>FLIR</stp>
        <tr r="F187" s="1"/>
      </tp>
      <tp>
        <v>72.44</v>
        <stp/>
        <stp>Mark</stp>
        <stp>GILD</stp>
        <tr r="P200" s="1"/>
      </tp>
      <tp t="s">
        <v>instrument=FAST</v>
        <stp/>
        <stp>QUOTE_TREND</stp>
        <stp>FAST</stp>
        <tr r="D177" s="1"/>
      </tp>
      <tp>
        <v>46.3</v>
        <stp/>
        <stp>Mark</stp>
        <stp>ZION</stp>
        <tr r="P502" s="1"/>
      </tp>
      <tp>
        <v>211.35</v>
        <stp/>
        <stp>ASK</stp>
        <stp>NVDA</stp>
        <tr r="G340" s="1"/>
      </tp>
      <tp t="s">
        <v>instrument=AAPL</v>
        <stp/>
        <stp>QUOTE_TREND</stp>
        <stp>AAPL</stp>
        <tr r="D6" s="1"/>
      </tp>
      <tp>
        <v>73.459999999999994</v>
        <stp/>
        <stp>Mark</stp>
        <stp>CINF</stp>
        <tr r="P97" s="1"/>
      </tp>
      <tp>
        <v>26.15</v>
        <stp/>
        <stp>Mark</stp>
        <stp>VIAB</stp>
        <tr r="P467" s="1"/>
      </tp>
      <tp>
        <v>139.97</v>
        <stp/>
        <stp>Mark</stp>
        <stp>SIAL</stp>
        <tr r="P410" s="1"/>
      </tp>
      <tp>
        <v>59.1</v>
        <stp/>
        <stp>HIGH</stp>
        <stp>LEN</stp>
        <tr r="L271" s="1"/>
      </tp>
      <tp>
        <v>46.53</v>
        <stp/>
        <stp>HIGH</stp>
        <stp>LEG</stp>
        <tr r="L270" s="1"/>
      </tp>
      <tp>
        <v>100.3</v>
        <stp/>
        <stp>BID</stp>
        <stp>KLAC</stp>
        <tr r="F261" s="1"/>
      </tp>
      <tp>
        <v>3.85</v>
        <stp/>
        <stp>Mark</stp>
        <stp>LIFE</stp>
        <tr r="P273" s="1"/>
      </tp>
      <tp t="s">
        <v>instrument=PAYX</v>
        <stp/>
        <stp>QUOTE_TREND</stp>
        <stp>PAYX</stp>
        <tr r="D350" s="1"/>
      </tp>
      <tp>
        <v>110.76</v>
        <stp/>
        <stp>BID</stp>
        <stp>ALXN</stp>
        <tr r="F31" s="1"/>
      </tp>
      <tp>
        <v>104.65</v>
        <stp/>
        <stp>HIGH</stp>
        <stp>LYB</stp>
        <tr r="L287" s="1"/>
      </tp>
      <tp>
        <v>117.49</v>
        <stp/>
        <stp>OPEN</stp>
        <stp>UTX</stp>
        <tr r="K463" s="1"/>
      </tp>
      <tp>
        <v>0</v>
        <stp/>
        <stp>Last</stp>
        <stp>YHOO</stp>
        <tr r="B500" s="1"/>
      </tp>
      <tp>
        <v>65</v>
        <stp/>
        <stp>BID</stp>
        <stp>LLTC</stp>
        <tr r="F275" s="1"/>
      </tp>
      <tp>
        <v>24.03</v>
        <stp/>
        <stp>BID</stp>
        <stp>ALTR</stp>
        <tr r="F30" s="1"/>
      </tp>
      <tp>
        <v>93.7</v>
        <stp/>
        <stp>BID</stp>
        <stp>DLTR</stp>
        <tr r="F141" s="1"/>
      </tp>
      <tp>
        <v>128.38999999999999</v>
        <stp/>
        <stp>Mark</stp>
        <stp>FISV</stp>
        <tr r="P185" s="1"/>
      </tp>
      <tp t="s">
        <v>N/A</v>
        <stp/>
        <stp>HIGH</stp>
        <stp>LTD</stp>
        <tr r="L284" s="1"/>
      </tp>
      <tp>
        <v>25.315000000000001</v>
        <stp/>
        <stp>HIGH</stp>
        <stp>LUK</stp>
        <tr r="L285" s="1"/>
      </tp>
      <tp>
        <v>55.17</v>
        <stp/>
        <stp>HIGH</stp>
        <stp>LUV</stp>
        <tr r="L286" s="1"/>
      </tp>
      <tp>
        <v>113.33</v>
        <stp/>
        <stp>OPEN</stp>
        <stp>UPS</stp>
        <tr r="K460" s="1"/>
      </tp>
      <tp>
        <v>89.85</v>
        <stp/>
        <stp>HIGH</stp>
        <stp>LSI</stp>
        <tr r="L283" s="1"/>
      </tp>
      <tp>
        <v>28.45</v>
        <stp/>
        <stp>Mark</stp>
        <stp>FITB</stp>
        <tr r="P186" s="1"/>
      </tp>
      <tp>
        <v>93.76</v>
        <stp/>
        <stp>BID</stp>
        <stp>DLPH</stp>
        <tr r="F140" s="1"/>
      </tp>
      <tp>
        <v>51.58</v>
        <stp/>
        <stp>OPEN</stp>
        <stp>USB</stp>
        <tr r="K462" s="1"/>
      </tp>
      <tp>
        <v>0</v>
        <stp/>
        <stp>VOLUME</stp>
        <stp>GAS</stp>
        <tr r="J196" s="1"/>
      </tp>
      <tp>
        <v>964503</v>
        <stp/>
        <stp>VOLUME</stp>
        <stp>GCI</stp>
        <tr r="J197" s="1"/>
      </tp>
      <tp t="s">
        <v>Downtrend</v>
        <stp/>
        <stp>STRENGTH_METER</stp>
        <stp>CTL</stp>
        <tr r="C122" s="1"/>
      </tp>
      <tp>
        <v>4449797</v>
        <stp/>
        <stp>VOLUME</stp>
        <stp>GIS</stp>
        <tr r="J201" s="1"/>
      </tp>
      <tp t="s">
        <v>Range Bound</v>
        <stp/>
        <stp>STRENGTH_METER</stp>
        <stp>CVX</stp>
        <tr r="C127" s="1"/>
      </tp>
      <tp t="s">
        <v>Range Bound</v>
        <stp/>
        <stp>STRENGTH_METER</stp>
        <stp>CVS</stp>
        <tr r="C126" s="1"/>
      </tp>
      <tp t="s">
        <v>N/A</v>
        <stp/>
        <stp>STRENGTH_METER</stp>
        <stp>CVC</stp>
        <tr r="C125" s="1"/>
      </tp>
      <tp>
        <v>3415928</v>
        <stp/>
        <stp>VOLUME</stp>
        <stp>GLW</stp>
        <tr r="J202" s="1"/>
      </tp>
      <tp t="s">
        <v>Range Bound</v>
        <stp/>
        <stp>STRENGTH_METER</stp>
        <stp>CPB</stp>
        <tr r="C116" s="1"/>
      </tp>
      <tp>
        <v>3131286</v>
        <stp/>
        <stp>VOLUME</stp>
        <stp>GME</stp>
        <tr r="J203" s="1"/>
      </tp>
      <tp>
        <v>3283287</v>
        <stp/>
        <stp>VOLUME</stp>
        <stp>GNW</stp>
        <tr r="J204" s="1"/>
      </tp>
      <tp t="s">
        <v>Range Bound</v>
        <stp/>
        <stp>STRENGTH_METER</stp>
        <stp>CRM</stp>
        <tr r="C117" s="1"/>
      </tp>
      <tp t="s">
        <v>Range Bound</v>
        <stp/>
        <stp>STRENGTH_METER</stp>
        <stp>CSX</stp>
        <tr r="C120" s="1"/>
      </tp>
      <tp t="s">
        <v>Range Bound</v>
        <stp/>
        <stp>STRENGTH_METER</stp>
        <stp>CSC</stp>
        <tr r="C118" s="1"/>
      </tp>
      <tp t="s">
        <v>Range Bound</v>
        <stp/>
        <stp>STRENGTH_METER</stp>
        <stp>CLX</stp>
        <tr r="C100" s="1"/>
      </tp>
      <tp>
        <v>17814792</v>
        <stp/>
        <stp>VOLUME</stp>
        <stp>GPS</stp>
        <tr r="J207" s="1"/>
      </tp>
      <tp t="s">
        <v>Downtrend</v>
        <stp/>
        <stp>STRENGTH_METER</stp>
        <stp>CLF</stp>
        <tr r="C99" s="1"/>
      </tp>
      <tp>
        <v>526048</v>
        <stp/>
        <stp>VOLUME</stp>
        <stp>GPC</stp>
        <tr r="J206" s="1"/>
      </tp>
      <tp t="s">
        <v>Range Bound</v>
        <stp/>
        <stp>STRENGTH_METER</stp>
        <stp>CMS</stp>
        <tr r="C106" s="1"/>
      </tp>
      <tp t="s">
        <v>Range Bound</v>
        <stp/>
        <stp>STRENGTH_METER</stp>
        <stp>CMI</stp>
        <tr r="C105" s="1"/>
      </tp>
      <tp t="s">
        <v>Range Bound</v>
        <stp/>
        <stp>STRENGTH_METER</stp>
        <stp>CMA</stp>
        <tr r="C101" s="1"/>
      </tp>
      <tp t="s">
        <v>Range Bound</v>
        <stp/>
        <stp>STRENGTH_METER</stp>
        <stp>CMG</stp>
        <tr r="C104" s="1"/>
      </tp>
      <tp t="s">
        <v>Range Bound</v>
        <stp/>
        <stp>STRENGTH_METER</stp>
        <stp>CME</stp>
        <tr r="C103" s="1"/>
      </tp>
      <tp t="s">
        <v>Range Bound</v>
        <stp/>
        <stp>STRENGTH_METER</stp>
        <stp>CNX</stp>
        <tr r="C108" s="1"/>
      </tp>
      <tp t="s">
        <v>Range Bound</v>
        <stp/>
        <stp>STRENGTH_METER</stp>
        <stp>CNP</stp>
        <tr r="C107" s="1"/>
      </tp>
      <tp t="s">
        <v>Range Bound</v>
        <stp/>
        <stp>STRENGTH_METER</stp>
        <stp>COP</stp>
        <tr r="C113" s="1"/>
      </tp>
      <tp t="s">
        <v>N/A</v>
        <stp/>
        <stp>STRENGTH_METER</stp>
        <stp>COV</stp>
        <tr r="C115" s="1"/>
      </tp>
      <tp t="s">
        <v>Range Bound</v>
        <stp/>
        <stp>STRENGTH_METER</stp>
        <stp>COH</stp>
        <tr r="C111" s="1"/>
      </tp>
      <tp t="s">
        <v>Range Bound</v>
        <stp/>
        <stp>STRENGTH_METER</stp>
        <stp>COL</stp>
        <tr r="C112" s="1"/>
      </tp>
      <tp t="s">
        <v>Uptrend</v>
        <stp/>
        <stp>STRENGTH_METER</stp>
        <stp>COG</stp>
        <tr r="C110" s="1"/>
      </tp>
      <tp t="s">
        <v>Range Bound</v>
        <stp/>
        <stp>STRENGTH_METER</stp>
        <stp>COF</stp>
        <tr r="C109" s="1"/>
      </tp>
      <tp t="s">
        <v>Uptrend</v>
        <stp/>
        <stp>STRENGTH_METER</stp>
        <stp>CHK</stp>
        <tr r="C94" s="1"/>
      </tp>
      <tp>
        <v>588548</v>
        <stp/>
        <stp>VOLUME</stp>
        <stp>GWW</stp>
        <tr r="J211" s="1"/>
      </tp>
      <tp t="s">
        <v>N/A</v>
        <stp/>
        <stp>STRENGTH_METER</stp>
        <stp>CFN</stp>
        <tr r="C93" s="1"/>
      </tp>
      <tp t="s">
        <v>Range Bound</v>
        <stp/>
        <stp>STRENGTH_METER</stp>
        <stp>CAT</stp>
        <tr r="C83" s="1"/>
      </tp>
      <tp t="s">
        <v>Downtrend</v>
        <stp/>
        <stp>STRENGTH_METER</stp>
        <stp>CAH</stp>
        <tr r="C81" s="1"/>
      </tp>
      <tp t="s">
        <v>N/A</v>
        <stp/>
        <stp>STRENGTH_METER</stp>
        <stp>CAM</stp>
        <tr r="C82" s="1"/>
      </tp>
      <tp t="s">
        <v>Range Bound</v>
        <stp/>
        <stp>STRENGTH_METER</stp>
        <stp>CAG</stp>
        <tr r="C80" s="1"/>
      </tp>
      <tp t="s">
        <v>Range Bound</v>
        <stp/>
        <stp>STRENGTH_METER</stp>
        <stp>CBS</stp>
        <tr r="C86" s="1"/>
      </tp>
      <tp t="s">
        <v>Range Bound</v>
        <stp/>
        <stp>STRENGTH_METER</stp>
        <stp>CBG</stp>
        <tr r="C85" s="1"/>
      </tp>
      <tp t="s">
        <v>Range Bound</v>
        <stp/>
        <stp>STRENGTH_METER</stp>
        <stp>CCI</stp>
        <tr r="C88" s="1"/>
      </tp>
      <tp t="s">
        <v>Range Bound</v>
        <stp/>
        <stp>STRENGTH_METER</stp>
        <stp>CCL</stp>
        <tr r="C89" s="1"/>
      </tp>
      <tp t="s">
        <v>Range Bound</v>
        <stp/>
        <stp>STRENGTH_METER</stp>
        <stp>CCE</stp>
        <tr r="C87" s="1"/>
      </tp>
      <tp>
        <v>156.74</v>
        <stp/>
        <stp>ASK</stp>
        <stp>IFF</stp>
        <tr r="G237" s="1"/>
      </tp>
      <tp>
        <v>28.54</v>
        <stp/>
        <stp>ASK</stp>
        <stp>IGT</stp>
        <tr r="G238" s="1"/>
      </tp>
      <tp>
        <v>149.25</v>
        <stp/>
        <stp>ASK</stp>
        <stp>IBM</stp>
        <tr r="G235" s="1"/>
      </tp>
      <tp t="s">
        <v>instrument=YUM</v>
        <stp/>
        <stp>QUOTE_TREND</stp>
        <stp>YUM</stp>
        <tr r="D501" s="1"/>
      </tp>
      <tp>
        <v>66.64</v>
        <stp/>
        <stp>ASK</stp>
        <stp>ICE</stp>
        <tr r="G236" s="1"/>
      </tp>
      <tp>
        <v>86.54</v>
        <stp/>
        <stp>LOW</stp>
        <stp>DPS</stp>
        <tr r="M147" s="1"/>
      </tp>
      <tp>
        <v>40.799999999999997</v>
        <stp/>
        <stp>BID</stp>
        <stp>JWN</stp>
        <tr r="F257" s="1"/>
      </tp>
      <tp>
        <v>82.2</v>
        <stp/>
        <stp>LOW</stp>
        <stp>DRI</stp>
        <tr r="M148" s="1"/>
      </tp>
      <tp>
        <v>-0.31</v>
        <stp/>
        <stp>NET_CHANGE</stp>
        <stp>SBUX</stp>
        <tr r="E404" s="1"/>
      </tp>
      <tp>
        <v>55.67</v>
        <stp/>
        <stp>LOW</stp>
        <stp>DTV</stp>
        <tr r="M150" s="1"/>
      </tp>
      <tp>
        <v>112.55</v>
        <stp/>
        <stp>LOW</stp>
        <stp>DTE</stp>
        <tr r="M149" s="1"/>
      </tp>
      <tp>
        <v>88.448400000000007</v>
        <stp/>
        <stp>LOW</stp>
        <stp>DUK</stp>
        <tr r="M151" s="1"/>
      </tp>
      <tp>
        <v>98.04</v>
        <stp/>
        <stp>BID</stp>
        <stp>JPM</stp>
        <tr r="F256" s="1"/>
      </tp>
      <tp>
        <v>38.31</v>
        <stp/>
        <stp>LOW</stp>
        <stp>DVN</stp>
        <tr r="M153" s="1"/>
      </tp>
      <tp>
        <v>54.88</v>
        <stp/>
        <stp>LOW</stp>
        <stp>DVA</stp>
        <tr r="M152" s="1"/>
      </tp>
      <tp>
        <v>137.99</v>
        <stp/>
        <stp>BID</stp>
        <stp>JNJ</stp>
        <tr r="F253" s="1"/>
      </tp>
      <tp>
        <v>92.8</v>
        <stp/>
        <stp>LOW</stp>
        <stp>DHR</stp>
        <tr r="M137" s="1"/>
      </tp>
      <tp>
        <v>158.61000000000001</v>
        <stp/>
        <stp>ASK</stp>
        <stp>ITW</stp>
        <tr r="G246" s="1"/>
      </tp>
      <tp>
        <v>47.41</v>
        <stp/>
        <stp>LOW</stp>
        <stp>DHI</stp>
        <tr r="M136" s="1"/>
      </tp>
      <tp>
        <v>102.971</v>
        <stp/>
        <stp>LOW</stp>
        <stp>DIS</stp>
        <tr r="M138" s="1"/>
      </tp>
      <tp>
        <v>28.29</v>
        <stp/>
        <stp>BID</stp>
        <stp>JOY</stp>
        <tr r="F255" s="1"/>
      </tp>
      <tp>
        <v>35.049999999999997</v>
        <stp/>
        <stp>ASK</stp>
        <stp>IVZ</stp>
        <tr r="G247" s="1"/>
      </tp>
      <tp>
        <v>19.07</v>
        <stp/>
        <stp>ASK</stp>
        <stp>IPG</stp>
        <tr r="G242" s="1"/>
      </tp>
      <tp>
        <v>1.64</v>
        <stp/>
        <stp>LOW</stp>
        <stp>DNR</stp>
        <tr r="M143" s="1"/>
      </tp>
      <tp>
        <v>41.5</v>
        <stp/>
        <stp>ASK</stp>
        <stp>IRM</stp>
        <tr r="G244" s="1"/>
      </tp>
      <tp>
        <v>117.73</v>
        <stp/>
        <stp>LOW</stp>
        <stp>DNB</stp>
        <tr r="M142" s="1"/>
      </tp>
      <tp>
        <v>93.07</v>
        <stp/>
        <stp>LOW</stp>
        <stp>DOV</stp>
        <tr r="M145" s="1"/>
      </tp>
      <tp>
        <v>0</v>
        <stp/>
        <stp>LOW</stp>
        <stp>DOW</stp>
        <tr r="M146" s="1"/>
      </tp>
      <tp>
        <v>55.65</v>
        <stp/>
        <stp>BID</stp>
        <stp>JEC</stp>
        <tr r="F252" s="1"/>
      </tp>
      <tp>
        <v>27.5</v>
        <stp/>
        <stp>BID</stp>
        <stp>JBL</stp>
        <tr r="F248" s="1"/>
      </tp>
      <tp>
        <v>0.06</v>
        <stp/>
        <stp>NET_CHANGE</stp>
        <stp>PBCT</stp>
        <tr r="E351" s="1"/>
      </tp>
      <tp>
        <v>36.29</v>
        <stp/>
        <stp>BID</stp>
        <stp>JCI</stp>
        <tr r="F249" s="1"/>
      </tp>
      <tp>
        <v>3.28</v>
        <stp/>
        <stp>BID</stp>
        <stp>JCP</stp>
        <tr r="F250" s="1"/>
      </tp>
      <tp>
        <v>0.49</v>
        <stp/>
        <stp>NET_CHANGE</stp>
        <stp>BBBY</stp>
        <tr r="E56" s="1"/>
      </tp>
      <tp>
        <v>-0.86</v>
        <stp/>
        <stp>NET_CHANGE</stp>
        <stp>ABBV</stp>
        <tr r="E7" s="1"/>
      </tp>
      <tp>
        <v>64.5</v>
        <stp/>
        <stp>LOW</stp>
        <stp>DFS</stp>
        <tr r="M133" s="1"/>
      </tp>
      <tp>
        <v>-0.04</v>
        <stp/>
        <stp>NET_CHANGE</stp>
        <stp>EBAY</stp>
        <tr r="E155" s="1"/>
      </tp>
      <tp>
        <v>0.14000000000000001</v>
        <stp/>
        <stp>NET_CHANGE</stp>
        <stp>HBAN</stp>
        <tr r="E215" s="1"/>
      </tp>
      <tp>
        <v>92.02</v>
        <stp/>
        <stp>LOW</stp>
        <stp>DGX</stp>
        <tr r="M135" s="1"/>
      </tp>
      <tp>
        <v>189.55</v>
        <stp/>
        <stp>OPEN</stp>
        <stp>TMO</stp>
        <tr r="K445" s="1"/>
      </tp>
      <tp>
        <v>118.59</v>
        <stp/>
        <stp>HIGH</stp>
        <stp>MON</stp>
        <tr r="L309" s="1"/>
      </tp>
      <tp>
        <v>84.68</v>
        <stp/>
        <stp>OPEN</stp>
        <stp>TMK</stp>
        <tr r="K444" s="1"/>
      </tp>
      <tp>
        <v>23.16</v>
        <stp/>
        <stp>HIGH</stp>
        <stp>MOS</stp>
        <tr r="L310" s="1"/>
      </tp>
      <tp>
        <v>28.45</v>
        <stp/>
        <stp>Last</stp>
        <stp>FITB</stp>
        <tr r="B186" s="1"/>
      </tp>
      <tp>
        <v>229.92</v>
        <stp/>
        <stp>HIGH</stp>
        <stp>MMM</stp>
        <tr r="L305" s="1"/>
      </tp>
      <tp>
        <v>83</v>
        <stp/>
        <stp>HIGH</stp>
        <stp>MMC</stp>
        <tr r="L304" s="1"/>
      </tp>
      <tp>
        <v>0</v>
        <stp/>
        <stp>HIGH</stp>
        <stp>MJN</stp>
        <tr r="L302" s="1"/>
      </tp>
      <tp>
        <v>13.58</v>
        <stp/>
        <stp>OPEN</stp>
        <stp>THC</stp>
        <tr r="K441" s="1"/>
      </tp>
      <tp>
        <v>0</v>
        <stp/>
        <stp>52HIGH</stp>
        <stp>ZMH</stp>
        <tr r="N503" s="1"/>
      </tp>
      <tp>
        <v>128.38999999999999</v>
        <stp/>
        <stp>Last</stp>
        <stp>FISV</stp>
        <tr r="B185" s="1"/>
      </tp>
      <tp>
        <v>100.57</v>
        <stp/>
        <stp>HIGH</stp>
        <stp>MKC</stp>
        <tr r="L303" s="1"/>
      </tp>
      <tp>
        <v>93.3</v>
        <stp/>
        <stp>OPEN</stp>
        <stp>TIF</stp>
        <tr r="K442" s="1"/>
      </tp>
      <tp>
        <v>69.349999999999994</v>
        <stp/>
        <stp>OPEN</stp>
        <stp>TJX</stp>
        <tr r="K443" s="1"/>
      </tp>
      <tp t="s">
        <v>N/A</v>
        <stp/>
        <stp>HIGH</stp>
        <stp>MHP</stp>
        <tr r="L301" s="1"/>
      </tp>
      <tp>
        <v>0</v>
        <stp/>
        <stp>Mark</stp>
        <stp>YHOO</stp>
        <tr r="P500" s="1"/>
      </tp>
      <tp>
        <v>35.85</v>
        <stp/>
        <stp>OPEN</stp>
        <stp>TDC</stp>
        <tr r="K435" s="1"/>
      </tp>
      <tp>
        <v>95.03</v>
        <stp/>
        <stp>OPEN</stp>
        <stp>TEL</stp>
        <tr r="K438" s="1"/>
      </tp>
      <tp>
        <v>0</v>
        <stp/>
        <stp>OPEN</stp>
        <stp>TEG</stp>
        <tr r="K437" s="1"/>
      </tp>
      <tp>
        <v>43.96</v>
        <stp/>
        <stp>OPEN</stp>
        <stp>TER</stp>
        <tr r="K439" s="1"/>
      </tp>
      <tp>
        <v>80.09</v>
        <stp/>
        <stp>HIGH</stp>
        <stp>MDT</stp>
        <tr r="L299" s="1"/>
      </tp>
      <tp>
        <v>169.9</v>
        <stp/>
        <stp>BID</stp>
        <stp>AMGN</stp>
        <tr r="F34" s="1"/>
      </tp>
      <tp>
        <v>55.76</v>
        <stp/>
        <stp>OPEN</stp>
        <stp>TGT</stp>
        <tr r="K440" s="1"/>
      </tp>
      <tp>
        <v>51.910499999999999</v>
        <stp/>
        <stp>HIGH</stp>
        <stp>MET</stp>
        <tr r="L300" s="1"/>
      </tp>
      <tp>
        <v>56.5</v>
        <stp/>
        <stp>BID</stp>
        <stp>AMAT</stp>
        <tr r="F32" s="1"/>
      </tp>
      <tp>
        <v>142.84</v>
        <stp/>
        <stp>HIGH</stp>
        <stp>MCK</stp>
        <tr r="L296" s="1"/>
      </tp>
      <tp>
        <v>147.33000000000001</v>
        <stp/>
        <stp>HIGH</stp>
        <stp>MCO</stp>
        <tr r="L297" s="1"/>
      </tp>
      <tp>
        <v>167.70009999999999</v>
        <stp/>
        <stp>HIGH</stp>
        <stp>MCD</stp>
        <tr r="L294" s="1"/>
      </tp>
      <tp>
        <v>79.239999999999995</v>
        <stp/>
        <stp>OPEN</stp>
        <stp>TAP</stp>
        <tr r="K434" s="1"/>
      </tp>
      <tp>
        <v>65.28</v>
        <stp/>
        <stp>HIGH</stp>
        <stp>MAC</stp>
        <tr r="L290" s="1"/>
      </tp>
      <tp>
        <v>125.64</v>
        <stp/>
        <stp>HIGH</stp>
        <stp>MAR</stp>
        <tr r="L291" s="1"/>
      </tp>
      <tp>
        <v>39.619999999999997</v>
        <stp/>
        <stp>HIGH</stp>
        <stp>MAS</stp>
        <tr r="L292" s="1"/>
      </tp>
      <tp>
        <v>18.805</v>
        <stp/>
        <stp>HIGH</stp>
        <stp>MAT</stp>
        <tr r="L293" s="1"/>
      </tp>
      <tp>
        <v>3.85</v>
        <stp/>
        <stp>Last</stp>
        <stp>LIFE</stp>
        <tr r="B273" s="1"/>
      </tp>
      <tp>
        <v>15.88</v>
        <stp/>
        <stp>ASK</stp>
        <stp>NWSA</stp>
        <tr r="G342" s="1"/>
      </tp>
      <tp>
        <v>98.56</v>
        <stp/>
        <stp>OPEN</stp>
        <stp>TXN</stp>
        <tr r="K454" s="1"/>
      </tp>
      <tp>
        <v>52.74</v>
        <stp/>
        <stp>OPEN</stp>
        <stp>TXT</stp>
        <tr r="K455" s="1"/>
      </tp>
      <tp>
        <v>0</v>
        <stp/>
        <stp>OPEN</stp>
        <stp>TYC</stp>
        <tr r="K456" s="1"/>
      </tp>
      <tp>
        <v>37.76</v>
        <stp/>
        <stp>HIGH</stp>
        <stp>MYL</stp>
        <tr r="L321" s="1"/>
      </tp>
      <tp>
        <v>26.15</v>
        <stp/>
        <stp>Last</stp>
        <stp>VIAB</stp>
        <tr r="B467" s="1"/>
      </tp>
      <tp>
        <v>0</v>
        <stp/>
        <stp>Last</stp>
        <stp>SIAL</stp>
        <tr r="B410" s="1"/>
      </tp>
      <tp>
        <v>1129</v>
        <stp/>
        <stp>BID</stp>
        <stp>AMZN</stp>
        <tr r="F37" s="1"/>
      </tp>
      <tp>
        <v>73.459999999999994</v>
        <stp/>
        <stp>Last</stp>
        <stp>CINF</stp>
        <tr r="B97" s="1"/>
      </tp>
      <tp>
        <v>0</v>
        <stp/>
        <stp>HIGH</stp>
        <stp>MWV</stp>
        <tr r="L320" s="1"/>
      </tp>
      <tp>
        <v>46.3</v>
        <stp/>
        <stp>Last</stp>
        <stp>ZION</stp>
        <tr r="B502" s="1"/>
      </tp>
      <tp>
        <v>161.32</v>
        <stp/>
        <stp>HIGH</stp>
        <stp>MTB</stp>
        <tr r="L317" s="1"/>
      </tp>
      <tp>
        <v>72.44</v>
        <stp/>
        <stp>Last</stp>
        <stp>GILD</stp>
        <tr r="B200" s="1"/>
      </tp>
      <tp>
        <v>78.44</v>
        <stp/>
        <stp>Mark</stp>
        <stp>CHRW</stp>
        <tr r="P95" s="1"/>
      </tp>
      <tp>
        <v>0</v>
        <stp/>
        <stp>OPEN</stp>
        <stp>TWC</stp>
        <tr r="K452" s="1"/>
      </tp>
      <tp>
        <v>88.2</v>
        <stp/>
        <stp>OPEN</stp>
        <stp>TWX</stp>
        <tr r="K453" s="1"/>
      </tp>
      <tp>
        <v>28.07</v>
        <stp/>
        <stp>HIGH</stp>
        <stp>MUR</stp>
        <tr r="L319" s="1"/>
      </tp>
      <tp>
        <v>55.43</v>
        <stp/>
        <stp>HIGH</stp>
        <stp>MRK</stp>
        <tr r="L312" s="1"/>
      </tp>
      <tp>
        <v>15.19</v>
        <stp/>
        <stp>HIGH</stp>
        <stp>MRO</stp>
        <tr r="L313" s="1"/>
      </tp>
      <tp>
        <v>91.444999999999993</v>
        <stp/>
        <stp>HIGH</stp>
        <stp>MSI</stp>
        <tr r="L316" s="1"/>
      </tp>
      <tp>
        <v>62.45</v>
        <stp/>
        <stp>HIGH</stp>
        <stp>MPC</stp>
        <tr r="L311" s="1"/>
      </tp>
      <tp>
        <v>130.66999999999999</v>
        <stp/>
        <stp>OPEN</stp>
        <stp>TRV</stp>
        <tr r="K448" s="1"/>
      </tp>
      <tp>
        <v>76.83</v>
        <stp/>
        <stp>OPEN</stp>
        <stp>TSN</stp>
        <tr r="K449" s="1"/>
      </tp>
      <tp>
        <v>0</v>
        <stp/>
        <stp>OPEN</stp>
        <stp>TSO</stp>
        <tr r="K450" s="1"/>
      </tp>
      <tp>
        <v>313.97000000000003</v>
        <stp/>
        <stp>Last</stp>
        <stp>BIIB</stp>
        <tr r="B65" s="1"/>
      </tp>
      <tp>
        <v>73.73</v>
        <stp/>
        <stp>OPEN</stp>
        <stp>TSS</stp>
        <tr r="K451" s="1"/>
      </tp>
      <tp>
        <v>55.18</v>
        <stp/>
        <stp>LOW</stp>
        <stp>AKAM</stp>
        <tr r="M28" s="1"/>
      </tp>
      <tp>
        <v>15324214</v>
        <stp/>
        <stp>VOLUME</stp>
        <stp>FCX</stp>
        <tr r="J178" s="1"/>
      </tp>
      <tp>
        <v>1432812</v>
        <stp/>
        <stp>VOLUME</stp>
        <stp>FDX</stp>
        <tr r="J180" s="1"/>
      </tp>
      <tp t="s">
        <v>Range Bound</v>
        <stp/>
        <stp>STRENGTH_METER</stp>
        <stp>BXP</stp>
        <tr r="C77" s="1"/>
      </tp>
      <tp>
        <v>0</v>
        <stp/>
        <stp>VOLUME</stp>
        <stp>FDO</stp>
        <tr r="J179" s="1"/>
      </tp>
      <tp t="s">
        <v>Range Bound</v>
        <stp/>
        <stp>STRENGTH_METER</stp>
        <stp>BTU</stp>
        <tr r="C75" s="1"/>
      </tp>
      <tp>
        <v>2128349</v>
        <stp/>
        <stp>VOLUME</stp>
        <stp>FHN</stp>
        <tr r="J183" s="1"/>
      </tp>
      <tp>
        <v>1692006</v>
        <stp/>
        <stp>VOLUME</stp>
        <stp>FIS</stp>
        <tr r="J184" s="1"/>
      </tp>
      <tp t="s">
        <v>Range Bound</v>
        <stp/>
        <stp>STRENGTH_METER</stp>
        <stp>BWA</stp>
        <tr r="C76" s="1"/>
      </tp>
      <tp>
        <v>936137</v>
        <stp/>
        <stp>VOLUME</stp>
        <stp>FLS</stp>
        <tr r="J189" s="1"/>
      </tp>
      <tp>
        <v>1323760</v>
        <stp/>
        <stp>VOLUME</stp>
        <stp>FLR</stp>
        <tr r="J188" s="1"/>
      </tp>
      <tp>
        <v>763718</v>
        <stp/>
        <stp>VOLUME</stp>
        <stp>FMC</stp>
        <tr r="J190" s="1"/>
      </tp>
      <tp t="s">
        <v>Range Bound</v>
        <stp/>
        <stp>STRENGTH_METER</stp>
        <stp>BSX</stp>
        <tr r="C74" s="1"/>
      </tp>
      <tp t="s">
        <v>Range Bound</v>
        <stp/>
        <stp>STRENGTH_METER</stp>
        <stp>BLK</stp>
        <tr r="C67" s="1"/>
      </tp>
      <tp t="s">
        <v>Range Bound</v>
        <stp/>
        <stp>STRENGTH_METER</stp>
        <stp>BLL</stp>
        <tr r="C68" s="1"/>
      </tp>
      <tp t="s">
        <v>Range Bound</v>
        <stp/>
        <stp>STRENGTH_METER</stp>
        <stp>BMY</stp>
        <tr r="C71" s="1"/>
      </tp>
      <tp t="s">
        <v>Range Bound</v>
        <stp/>
        <stp>STRENGTH_METER</stp>
        <stp>BMS</stp>
        <tr r="C70" s="1"/>
      </tp>
      <tp t="s">
        <v>N/A</v>
        <stp/>
        <stp>STRENGTH_METER</stp>
        <stp>BMC</stp>
        <tr r="C69" s="1"/>
      </tp>
      <tp t="s">
        <v>N/A</v>
        <stp/>
        <stp>VOLUME</stp>
        <stp>FRX</stp>
        <tr r="J192" s="1"/>
      </tp>
      <tp>
        <v>3447184</v>
        <stp/>
        <stp>VOLUME</stp>
        <stp>FTR</stp>
        <tr r="J195" s="1"/>
      </tp>
      <tp t="s">
        <v>Range Bound</v>
        <stp/>
        <stp>STRENGTH_METER</stp>
        <stp>BHI</stp>
        <tr r="C64" s="1"/>
      </tp>
      <tp>
        <v>2343141</v>
        <stp/>
        <stp>VOLUME</stp>
        <stp>FTI</stp>
        <tr r="J194" s="1"/>
      </tp>
      <tp t="s">
        <v>Range Bound</v>
        <stp/>
        <stp>STRENGTH_METER</stp>
        <stp>BDX</stp>
        <tr r="C60" s="1"/>
      </tp>
      <tp t="s">
        <v>Range Bound</v>
        <stp/>
        <stp>STRENGTH_METER</stp>
        <stp>BEN</stp>
        <tr r="C62" s="1"/>
      </tp>
      <tp t="s">
        <v>Range Bound</v>
        <stp/>
        <stp>STRENGTH_METER</stp>
        <stp>BAX</stp>
        <tr r="C55" s="1"/>
      </tp>
      <tp t="s">
        <v>Range Bound</v>
        <stp/>
        <stp>STRENGTH_METER</stp>
        <stp>BAC</stp>
        <tr r="C54" s="1"/>
      </tp>
      <tp t="s">
        <v>Range Bound</v>
        <stp/>
        <stp>STRENGTH_METER</stp>
        <stp>BBY</stp>
        <tr r="C58" s="1"/>
      </tp>
      <tp t="s">
        <v>Range Bound</v>
        <stp/>
        <stp>STRENGTH_METER</stp>
        <stp>BBT</stp>
        <tr r="C57" s="1"/>
      </tp>
      <tp t="s">
        <v>Range Bound</v>
        <stp/>
        <stp>STRENGTH_METER</stp>
        <stp>BCR</stp>
        <tr r="C59" s="1"/>
      </tp>
      <tp>
        <v>185.81</v>
        <stp/>
        <stp>ASK</stp>
        <stp>NEE</stp>
        <tr r="G326" s="1"/>
      </tp>
      <tp>
        <v>36.25</v>
        <stp/>
        <stp>ASK</stp>
        <stp>NEM</stp>
        <tr r="G327" s="1"/>
      </tp>
      <tp>
        <v>31.49</v>
        <stp/>
        <stp>ASK</stp>
        <stp>NFX</stp>
        <tr r="G329" s="1"/>
      </tp>
      <tp>
        <v>25.97</v>
        <stp/>
        <stp>ASK</stp>
        <stp>NBL</stp>
        <tr r="G322" s="1"/>
      </tp>
      <tp>
        <v>5.82</v>
        <stp/>
        <stp>ASK</stp>
        <stp>NBR</stp>
        <tr r="G323" s="1"/>
      </tp>
      <tp>
        <v>37.5</v>
        <stp/>
        <stp>BID</stp>
        <stp>MYL</stp>
        <tr r="F321" s="1"/>
      </tp>
      <tp>
        <v>48.13</v>
        <stp/>
        <stp>LOW</stp>
        <stp>CPB</stp>
        <tr r="M116" s="1"/>
      </tp>
      <tp>
        <v>5</v>
        <stp/>
        <stp>ASK_SIZE</stp>
        <stp>M</stp>
        <tr r="I288" s="1"/>
      </tp>
      <tp>
        <v>3</v>
        <stp/>
        <stp>ASK_SIZE</stp>
        <stp>L</stp>
        <tr r="I269" s="1"/>
      </tp>
      <tp>
        <v>1</v>
        <stp/>
        <stp>ASK_SIZE</stp>
        <stp>K</stp>
        <tr r="I258" s="1"/>
      </tp>
      <tp>
        <v>0</v>
        <stp/>
        <stp>ASK_SIZE</stp>
        <stp>D</stp>
        <tr r="I128" s="1"/>
      </tp>
      <tp>
        <v>779</v>
        <stp/>
        <stp>ASK_SIZE</stp>
        <stp>F</stp>
        <tr r="I176" s="1"/>
      </tp>
      <tp>
        <v>2</v>
        <stp/>
        <stp>ASK_SIZE</stp>
        <stp>A</stp>
        <tr r="I4" s="1"/>
      </tp>
      <tp>
        <v>1</v>
        <stp/>
        <stp>ASK_SIZE</stp>
        <stp>C</stp>
        <tr r="I78" s="1"/>
      </tp>
      <tp>
        <v>50</v>
        <stp/>
        <stp>ASK_SIZE</stp>
        <stp>X</stp>
        <tr r="I492" s="1"/>
      </tp>
      <tp>
        <v>2</v>
        <stp/>
        <stp>ASK_SIZE</stp>
        <stp>T</stp>
        <tr r="I433" s="1"/>
      </tp>
      <tp>
        <v>5</v>
        <stp/>
        <stp>ASK_SIZE</stp>
        <stp>V</stp>
        <tr r="I464" s="1"/>
      </tp>
      <tp>
        <v>1</v>
        <stp/>
        <stp>ASK_SIZE</stp>
        <stp>S</stp>
        <tr r="I402" s="1"/>
      </tp>
      <tp>
        <v>1</v>
        <stp/>
        <stp>ASK_SIZE</stp>
        <stp>R</stp>
        <tr r="I388" s="1"/>
      </tp>
      <tp>
        <v>125.78</v>
        <stp/>
        <stp>BID</stp>
        <stp>MWV</stp>
        <tr r="F320" s="1"/>
      </tp>
      <tp>
        <v>1.01</v>
        <stp/>
        <stp>BID</stp>
        <stp>MTB</stp>
        <tr r="F317" s="1"/>
      </tp>
      <tp>
        <v>106.73</v>
        <stp/>
        <stp>LOW</stp>
        <stp>CRM</stp>
        <tr r="M117" s="1"/>
      </tp>
      <tp>
        <v>299.35000000000002</v>
        <stp/>
        <stp>ASK</stp>
        <stp>NOC</stp>
        <tr r="G332" s="1"/>
      </tp>
      <tp>
        <v>49.5</v>
        <stp/>
        <stp>LOW</stp>
        <stp>CSX</stp>
        <tr r="M120" s="1"/>
      </tp>
      <tp>
        <v>32.04</v>
        <stp/>
        <stp>ASK</stp>
        <stp>NOV</stp>
        <tr r="G333" s="1"/>
      </tp>
      <tp>
        <v>0</v>
        <stp/>
        <stp>LOW</stp>
        <stp>CSC</stp>
        <tr r="M118" s="1"/>
      </tp>
      <tp>
        <v>27.65</v>
        <stp/>
        <stp>BID</stp>
        <stp>MUR</stp>
        <tr r="F319" s="1"/>
      </tp>
      <tp>
        <v>9</v>
        <stp/>
        <stp>BID_SIZE</stp>
        <stp>V</stp>
        <tr r="H464" s="1"/>
      </tp>
      <tp>
        <v>158</v>
        <stp/>
        <stp>BID_SIZE</stp>
        <stp>T</stp>
        <tr r="H433" s="1"/>
      </tp>
      <tp>
        <v>6</v>
        <stp/>
        <stp>BID_SIZE</stp>
        <stp>S</stp>
        <tr r="H402" s="1"/>
      </tp>
      <tp>
        <v>1</v>
        <stp/>
        <stp>BID_SIZE</stp>
        <stp>R</stp>
        <tr r="H388" s="1"/>
      </tp>
      <tp>
        <v>24</v>
        <stp/>
        <stp>BID_SIZE</stp>
        <stp>X</stp>
        <tr r="H492" s="1"/>
      </tp>
      <tp>
        <v>2</v>
        <stp/>
        <stp>BID_SIZE</stp>
        <stp>F</stp>
        <tr r="H176" s="1"/>
      </tp>
      <tp>
        <v>1</v>
        <stp/>
        <stp>BID_SIZE</stp>
        <stp>D</stp>
        <tr r="H128" s="1"/>
      </tp>
      <tp>
        <v>1</v>
        <stp/>
        <stp>BID_SIZE</stp>
        <stp>C</stp>
        <tr r="H78" s="1"/>
      </tp>
      <tp>
        <v>1</v>
        <stp/>
        <stp>BID_SIZE</stp>
        <stp>A</stp>
        <tr r="H4" s="1"/>
      </tp>
      <tp>
        <v>11</v>
        <stp/>
        <stp>BID_SIZE</stp>
        <stp>M</stp>
        <tr r="H288" s="1"/>
      </tp>
      <tp>
        <v>1</v>
        <stp/>
        <stp>BID_SIZE</stp>
        <stp>L</stp>
        <tr r="H269" s="1"/>
      </tp>
      <tp>
        <v>1</v>
        <stp/>
        <stp>BID_SIZE</stp>
        <stp>K</stp>
        <tr r="H258" s="1"/>
      </tp>
      <tp t="s">
        <v>N/A</v>
        <stp/>
        <stp>NET_CHANGE</stp>
        <stp>PETM</stp>
        <tr r="E361" s="1"/>
      </tp>
      <tp>
        <v>15</v>
        <stp/>
        <stp>BID</stp>
        <stp>MRO</stp>
        <tr r="F313" s="1"/>
      </tp>
      <tp>
        <v>55.09</v>
        <stp/>
        <stp>BID</stp>
        <stp>MRK</stp>
        <tr r="F312" s="1"/>
      </tp>
      <tp>
        <v>14.7</v>
        <stp/>
        <stp>LOW</stp>
        <stp>CTL</stp>
        <tr r="M122" s="1"/>
      </tp>
      <tp>
        <v>23.12</v>
        <stp/>
        <stp>BID</stp>
        <stp>MSI</stp>
        <tr r="F316" s="1"/>
      </tp>
      <tp>
        <v>-0.14000000000000001</v>
        <stp/>
        <stp>NET_CHANGE</stp>
        <stp>CERN</stp>
        <tr r="E91" s="1"/>
      </tp>
      <tp>
        <v>113.9</v>
        <stp/>
        <stp>LOW</stp>
        <stp>CVX</stp>
        <tr r="M127" s="1"/>
      </tp>
      <tp>
        <v>70</v>
        <stp/>
        <stp>LOW</stp>
        <stp>CVS</stp>
        <tr r="M126" s="1"/>
      </tp>
      <tp>
        <v>61.19</v>
        <stp/>
        <stp>BID</stp>
        <stp>MPC</stp>
        <tr r="F311" s="1"/>
      </tp>
      <tp>
        <v>0</v>
        <stp/>
        <stp>LOW</stp>
        <stp>CVC</stp>
        <tr r="M125" s="1"/>
      </tp>
      <tp>
        <v>59.16</v>
        <stp/>
        <stp>ASK</stp>
        <stp>NKE</stp>
        <tr r="G331" s="1"/>
      </tp>
      <tp>
        <v>3.89</v>
        <stp/>
        <stp>LOW</stp>
        <stp>CHK</stp>
        <tr r="M94" s="1"/>
      </tp>
      <tp>
        <v>117</v>
        <stp/>
        <stp>BID</stp>
        <stp>MON</stp>
        <tr r="F309" s="1"/>
      </tp>
      <tp>
        <v>55</v>
        <stp/>
        <stp>ASK</stp>
        <stp>NUE</stp>
        <tr r="G339" s="1"/>
      </tp>
      <tp>
        <v>22.89</v>
        <stp/>
        <stp>BID</stp>
        <stp>MOS</stp>
        <tr r="F310" s="1"/>
      </tp>
      <tp>
        <v>229.15</v>
        <stp/>
        <stp>BID</stp>
        <stp>MMM</stp>
        <tr r="F305" s="1"/>
      </tp>
      <tp>
        <v>28.6</v>
        <stp/>
        <stp>ASK</stp>
        <stp>NWL</stp>
        <tr r="G341" s="1"/>
      </tp>
      <tp>
        <v>76.680000000000007</v>
        <stp/>
        <stp>BID</stp>
        <stp>MMC</stp>
        <tr r="F304" s="1"/>
      </tp>
      <tp t="s">
        <v>N/A</v>
        <stp/>
        <stp>NET_CHANGE</stp>
        <stp>DELL</stp>
        <tr r="E131" s="1"/>
      </tp>
      <tp>
        <v>0.75</v>
        <stp/>
        <stp>NET_CHANGE</stp>
        <stp>CELG</stp>
        <tr r="E90" s="1"/>
      </tp>
      <tp t="s">
        <v>N/A</v>
        <stp/>
        <stp>NET_CHANGE</stp>
        <stp>BRK-B</stp>
        <tr r="E73" s="1"/>
      </tp>
      <tp>
        <v>60.6</v>
        <stp/>
        <stp>BID</stp>
        <stp>MJN</stp>
        <tr r="F302" s="1"/>
      </tp>
      <tp>
        <v>133.25</v>
        <stp/>
        <stp>LOW</stp>
        <stp>CLX</stp>
        <tr r="M100" s="1"/>
      </tp>
      <tp>
        <v>5.96</v>
        <stp/>
        <stp>LOW</stp>
        <stp>CLF</stp>
        <tr r="M99" s="1"/>
      </tp>
      <tp>
        <v>49.52</v>
        <stp/>
        <stp>LOW</stp>
        <stp>CMS</stp>
        <tr r="M106" s="1"/>
      </tp>
      <tp>
        <v>99.39</v>
        <stp/>
        <stp>BID</stp>
        <stp>MKC</stp>
        <tr r="F303" s="1"/>
      </tp>
      <tp>
        <v>158.75</v>
        <stp/>
        <stp>LOW</stp>
        <stp>CMI</stp>
        <tr r="M105" s="1"/>
      </tp>
      <tp>
        <v>283.56</v>
        <stp/>
        <stp>LOW</stp>
        <stp>CMG</stp>
        <tr r="M104" s="1"/>
      </tp>
      <tp>
        <v>139.04</v>
        <stp/>
        <stp>LOW</stp>
        <stp>CME</stp>
        <tr r="M103" s="1"/>
      </tp>
      <tp>
        <v>77.88</v>
        <stp/>
        <stp>LOW</stp>
        <stp>CMA</stp>
        <tr r="M101" s="1"/>
      </tp>
      <tp>
        <v>29.53</v>
        <stp/>
        <stp>ASK</stp>
        <stp>NRG</stp>
        <tr r="G334" s="1"/>
      </tp>
      <tp>
        <v>16.12</v>
        <stp/>
        <stp>LOW</stp>
        <stp>CNX</stp>
        <tr r="M108" s="1"/>
      </tp>
      <tp>
        <v>28.91</v>
        <stp/>
        <stp>LOW</stp>
        <stp>CNP</stp>
        <tr r="M107" s="1"/>
      </tp>
      <tp t="s">
        <v>N/A</v>
        <stp/>
        <stp>BID</stp>
        <stp>MHP</stp>
        <tr r="F301" s="1"/>
      </tp>
      <tp>
        <v>128.22999999999999</v>
        <stp/>
        <stp>ASK</stp>
        <stp>NSC</stp>
        <tr r="G335" s="1"/>
      </tp>
      <tp t="s">
        <v>N/A</v>
        <stp/>
        <stp>LOW</stp>
        <stp>COV</stp>
        <tr r="M115" s="1"/>
      </tp>
      <tp>
        <v>50</v>
        <stp/>
        <stp>LOW</stp>
        <stp>COP</stp>
        <tr r="M113" s="1"/>
      </tp>
      <tp>
        <v>131.93</v>
        <stp/>
        <stp>LOW</stp>
        <stp>COL</stp>
        <tr r="M112" s="1"/>
      </tp>
      <tp>
        <v>0</v>
        <stp/>
        <stp>LOW</stp>
        <stp>COH</stp>
        <tr r="M111" s="1"/>
      </tp>
      <tp>
        <v>86.89</v>
        <stp/>
        <stp>LOW</stp>
        <stp>COF</stp>
        <tr r="M109" s="1"/>
      </tp>
      <tp>
        <v>28.82</v>
        <stp/>
        <stp>LOW</stp>
        <stp>COG</stp>
        <tr r="M110" s="1"/>
      </tp>
      <tp>
        <v>-3.1</v>
        <stp/>
        <stp>NET_CHANGE</stp>
        <stp>REGN</stp>
        <tr r="E391" s="1"/>
      </tp>
      <tp>
        <v>135.02000000000001</v>
        <stp/>
        <stp>LOW</stp>
        <stp>CAT</stp>
        <tr r="M83" s="1"/>
      </tp>
      <tp>
        <v>0</v>
        <stp/>
        <stp>LOW</stp>
        <stp>CAM</stp>
        <tr r="M82" s="1"/>
      </tp>
      <tp>
        <v>56.83</v>
        <stp/>
        <stp>LOW</stp>
        <stp>CAH</stp>
        <tr r="M81" s="1"/>
      </tp>
      <tp>
        <v>35.44</v>
        <stp/>
        <stp>LOW</stp>
        <stp>CAG</stp>
        <tr r="M80" s="1"/>
      </tp>
      <tp>
        <v>55.16</v>
        <stp/>
        <stp>LOW</stp>
        <stp>CBS</stp>
        <tr r="M86" s="1"/>
      </tp>
      <tp>
        <v>79.290000000000006</v>
        <stp/>
        <stp>BID</stp>
        <stp>MDT</stp>
        <tr r="F299" s="1"/>
      </tp>
      <tp>
        <v>42.61</v>
        <stp/>
        <stp>LOW</stp>
        <stp>CBG</stp>
        <tr r="M85" s="1"/>
      </tp>
      <tp>
        <v>65.61</v>
        <stp/>
        <stp>LOW</stp>
        <stp>CCL</stp>
        <tr r="M89" s="1"/>
      </tp>
      <tp>
        <v>109.79</v>
        <stp/>
        <stp>LOW</stp>
        <stp>CCI</stp>
        <tr r="M88" s="1"/>
      </tp>
      <tp>
        <v>51.48</v>
        <stp/>
        <stp>BID</stp>
        <stp>MET</stp>
        <tr r="F300" s="1"/>
      </tp>
      <tp>
        <v>38.049999999999997</v>
        <stp/>
        <stp>LOW</stp>
        <stp>CCE</stp>
        <tr r="M87" s="1"/>
      </tp>
      <tp>
        <v>113</v>
        <stp/>
        <stp>BID</stp>
        <stp>MCO</stp>
        <tr r="F297" s="1"/>
      </tp>
      <tp>
        <v>130</v>
        <stp/>
        <stp>BID</stp>
        <stp>MCK</stp>
        <tr r="F296" s="1"/>
      </tp>
      <tp>
        <v>165.86</v>
        <stp/>
        <stp>BID</stp>
        <stp>MCD</stp>
        <tr r="F294" s="1"/>
      </tp>
      <tp t="s">
        <v>N/A</v>
        <stp/>
        <stp>ASK</stp>
        <stp>NYX</stp>
        <tr r="G343" s="1"/>
      </tp>
      <tp t="s">
        <v>N/A</v>
        <stp/>
        <stp>LOW</stp>
        <stp>CFN</stp>
        <tr r="M93" s="1"/>
      </tp>
      <tp t="s">
        <v>N/A</v>
        <stp/>
        <stp>NET_CHANGE</stp>
        <stp>BEAM</stp>
        <tr r="E61" s="1"/>
      </tp>
      <tp>
        <v>63.1</v>
        <stp/>
        <stp>BID</stp>
        <stp>MAC</stp>
        <tr r="F290" s="1"/>
      </tp>
      <tp>
        <v>18.62</v>
        <stp/>
        <stp>BID</stp>
        <stp>MAT</stp>
        <tr r="F293" s="1"/>
      </tp>
      <tp>
        <v>38.700000000000003</v>
        <stp/>
        <stp>BID</stp>
        <stp>MAS</stp>
        <tr r="F292" s="1"/>
      </tp>
      <tp>
        <v>122.56</v>
        <stp/>
        <stp>BID</stp>
        <stp>MAR</stp>
        <tr r="F291" s="1"/>
      </tp>
      <tp>
        <v>138.86000000000001</v>
        <stp/>
        <stp>HIGH</stp>
        <stp>JNJ</stp>
        <tr r="L253" s="1"/>
      </tp>
      <tp>
        <v>10.37</v>
        <stp/>
        <stp>OPEN</stp>
        <stp>SLM</stp>
        <tr r="K413" s="1"/>
      </tp>
      <tp>
        <v>61.36</v>
        <stp/>
        <stp>OPEN</stp>
        <stp>SLB</stp>
        <tr r="K412" s="1"/>
      </tp>
      <tp>
        <v>0</v>
        <stp/>
        <stp>HIGH</stp>
        <stp>JOY</stp>
        <tr r="L255" s="1"/>
      </tp>
      <tp>
        <v>79.8</v>
        <stp/>
        <stp>OPEN</stp>
        <stp>SNI</stp>
        <tr r="K416" s="1"/>
      </tp>
      <tp>
        <v>156.55000000000001</v>
        <stp/>
        <stp>Last</stp>
        <stp>INTU</stp>
        <tr r="B240" s="1"/>
      </tp>
      <tp>
        <v>156.57</v>
        <stp/>
        <stp>OPEN</stp>
        <stp>SNA</stp>
        <tr r="K414" s="1"/>
      </tp>
      <tp>
        <v>44.63</v>
        <stp/>
        <stp>Last</stp>
        <stp>INTC</stp>
        <tr r="B239" s="1"/>
      </tp>
      <tp>
        <v>386.45</v>
        <stp/>
        <stp>OPEN</stp>
        <stp>SHW</stp>
        <tr r="K409" s="1"/>
      </tp>
      <tp>
        <v>62.17</v>
        <stp/>
        <stp>Last</stp>
        <stp>MNST</stp>
        <tr r="B306" s="1"/>
      </tp>
      <tp t="s">
        <v>N/A</v>
        <stp/>
        <stp>Mark</stp>
        <stp>MOLX</stp>
        <tr r="P308" s="1"/>
      </tp>
      <tp>
        <v>26.3</v>
        <stp/>
        <stp>Last</stp>
        <stp>JNPR</stp>
        <tr r="B254" s="1"/>
      </tp>
      <tp>
        <v>116</v>
        <stp/>
        <stp>OPEN</stp>
        <stp>SJM</stp>
        <tr r="K411" s="1"/>
      </tp>
      <tp>
        <v>1019.09</v>
        <stp/>
        <stp>Mark</stp>
        <stp>GOOG</stp>
        <tr r="P205" s="1"/>
      </tp>
      <tp>
        <v>109.61279999999999</v>
        <stp/>
        <stp>LOW</stp>
        <stp>ALXN</stp>
        <tr r="M31" s="1"/>
      </tp>
      <tp>
        <v>45.45</v>
        <stp/>
        <stp>OPEN</stp>
        <stp>SEE</stp>
        <tr r="K408" s="1"/>
      </tp>
      <tp>
        <v>111.875</v>
        <stp/>
        <stp>52LOW</stp>
        <stp>EXPE</stp>
        <tr r="O175" s="1"/>
      </tp>
      <tp>
        <v>50.476700000000001</v>
        <stp/>
        <stp>52LOW</stp>
        <stp>EXPD</stp>
        <tr r="O174" s="1"/>
      </tp>
      <tp>
        <v>0</v>
        <stp/>
        <stp>LOW</stp>
        <stp>LLTC</stp>
        <tr r="M275" s="1"/>
      </tp>
      <tp>
        <v>93.99</v>
        <stp/>
        <stp>LOW</stp>
        <stp>DLTR</stp>
        <tr r="M141" s="1"/>
      </tp>
      <tp>
        <v>23.750800000000002</v>
        <stp/>
        <stp>LOW</stp>
        <stp>ALTR</stp>
        <tr r="M30" s="1"/>
      </tp>
      <tp>
        <v>58.86</v>
        <stp/>
        <stp>HIGH</stp>
        <stp>JEC</stp>
        <tr r="L252" s="1"/>
      </tp>
      <tp>
        <v>29.44</v>
        <stp/>
        <stp>HIGH</stp>
        <stp>JBL</stp>
        <tr r="L248" s="1"/>
      </tp>
      <tp>
        <v>36.54</v>
        <stp/>
        <stp>HIGH</stp>
        <stp>JCI</stp>
        <tr r="L249" s="1"/>
      </tp>
      <tp t="s">
        <v>N/A</v>
        <stp/>
        <stp>OPEN</stp>
        <stp>SAI</stp>
        <tr r="K403" s="1"/>
      </tp>
      <tp>
        <v>3.29</v>
        <stp/>
        <stp>HIGH</stp>
        <stp>JCP</stp>
        <tr r="L250" s="1"/>
      </tp>
      <tp>
        <v>10</v>
        <stp/>
        <stp>ASK</stp>
        <stp>APOL</stp>
        <tr r="G45" s="1"/>
      </tp>
      <tp>
        <v>97.67</v>
        <stp/>
        <stp>LOW</stp>
        <stp>DLPH</stp>
        <tr r="M140" s="1"/>
      </tp>
      <tp>
        <v>10.3</v>
        <stp/>
        <stp>ASK</stp>
        <stp>SPLS</stp>
        <tr r="G419" s="1"/>
      </tp>
      <tp>
        <v>44.87</v>
        <stp/>
        <stp>OPEN</stp>
        <stp>SCG</stp>
        <tr r="K405" s="1"/>
      </tp>
      <tp>
        <v>71.59</v>
        <stp/>
        <stp>LOW</stp>
        <stp>XLNX</stp>
        <tr r="M495" s="1"/>
      </tp>
      <tp>
        <v>0</v>
        <stp/>
        <stp>Last</stp>
        <stp>SNDK</stp>
        <tr r="B415" s="1"/>
      </tp>
      <tp>
        <v>155.69</v>
        <stp/>
        <stp>OPEN</stp>
        <stp>SYK</stp>
        <tr r="K430" s="1"/>
      </tp>
      <tp>
        <v>54.32</v>
        <stp/>
        <stp>OPEN</stp>
        <stp>SYY</stp>
        <tr r="K432" s="1"/>
      </tp>
      <tp>
        <v>46.45</v>
        <stp/>
        <stp>LOW</stp>
        <stp>FLIR</stp>
        <tr r="M187" s="1"/>
      </tp>
      <tp>
        <v>57.4</v>
        <stp/>
        <stp>OPEN</stp>
        <stp>STI</stp>
        <tr r="K422" s="1"/>
      </tp>
      <tp>
        <v>0</v>
        <stp/>
        <stp>OPEN</stp>
        <stp>STJ</stp>
        <tr r="K423" s="1"/>
      </tp>
      <tp>
        <v>39.24</v>
        <stp/>
        <stp>OPEN</stp>
        <stp>STX</stp>
        <tr r="K425" s="1"/>
      </tp>
      <tp>
        <v>217.18</v>
        <stp/>
        <stp>OPEN</stp>
        <stp>STZ</stp>
        <tr r="K426" s="1"/>
      </tp>
      <tp>
        <v>91.99</v>
        <stp/>
        <stp>OPEN</stp>
        <stp>STT</stp>
        <tr r="K424" s="1"/>
      </tp>
      <tp>
        <v>41.22</v>
        <stp/>
        <stp>HIGH</stp>
        <stp>JWN</stp>
        <tr r="L257" s="1"/>
      </tp>
      <tp>
        <v>72.2</v>
        <stp/>
        <stp>Mark</stp>
        <stp>ROST</stp>
        <tr r="P398" s="1"/>
      </tp>
      <tp>
        <v>170.98</v>
        <stp/>
        <stp>Mark</stp>
        <stp>COST</stp>
        <tr r="P114" s="1"/>
      </tp>
      <tp>
        <v>7.95</v>
        <stp/>
        <stp>Mark</stp>
        <stp>FOSL</stp>
        <tr r="P191" s="1"/>
      </tp>
      <tp>
        <v>6.17</v>
        <stp/>
        <stp>OPEN</stp>
        <stp>SWN</stp>
        <tr r="K428" s="1"/>
      </tp>
      <tp>
        <v>162.97999999999999</v>
        <stp/>
        <stp>OPEN</stp>
        <stp>SWK</stp>
        <tr r="K427" s="1"/>
      </tp>
      <tp>
        <v>0</v>
        <stp/>
        <stp>OPEN</stp>
        <stp>SWY</stp>
        <tr r="K429" s="1"/>
      </tp>
      <tp>
        <v>160.5</v>
        <stp/>
        <stp>OPEN</stp>
        <stp>SPG</stp>
        <tr r="K418" s="1"/>
      </tp>
      <tp>
        <v>98.41</v>
        <stp/>
        <stp>HIGH</stp>
        <stp>JPM</stp>
        <tr r="L256" s="1"/>
      </tp>
      <tp>
        <v>119.62</v>
        <stp/>
        <stp>OPEN</stp>
        <stp>SRE</stp>
        <tr r="K421" s="1"/>
      </tp>
      <tp>
        <v>101.53</v>
        <stp/>
        <stp>LOW</stp>
        <stp>KLAC</stp>
        <tr r="M261" s="1"/>
      </tp>
      <tp>
        <v>6253571</v>
        <stp/>
        <stp>VOLUME</stp>
        <stp>ABT</stp>
        <tr r="J9" s="1"/>
      </tp>
      <tp>
        <v>2189355</v>
        <stp/>
        <stp>VOLUME</stp>
        <stp>ABC</stp>
        <tr r="J8" s="1"/>
      </tp>
      <tp>
        <v>0</v>
        <stp/>
        <stp>VOLUME</stp>
        <stp>ACT</stp>
        <tr r="J12" s="1"/>
      </tp>
      <tp>
        <v>2550530</v>
        <stp/>
        <stp>VOLUME</stp>
        <stp>ACN</stp>
        <tr r="J11" s="1"/>
      </tp>
      <tp>
        <v>0</v>
        <stp/>
        <stp>VOLUME</stp>
        <stp>ACE</stp>
        <tr r="J10" s="1"/>
      </tp>
      <tp>
        <v>0</v>
        <stp/>
        <stp>VOLUME</stp>
        <stp>ADT</stp>
        <tr r="J18" s="1"/>
      </tp>
      <tp>
        <v>1967044</v>
        <stp/>
        <stp>VOLUME</stp>
        <stp>ADP</stp>
        <tr r="J16" s="1"/>
      </tp>
      <tp>
        <v>2603516</v>
        <stp/>
        <stp>VOLUME</stp>
        <stp>ADM</stp>
        <tr r="J15" s="1"/>
      </tp>
      <tp>
        <v>2337910</v>
        <stp/>
        <stp>VOLUME</stp>
        <stp>ADI</stp>
        <tr r="J14" s="1"/>
      </tp>
      <tp t="s">
        <v>Range Bound</v>
        <stp/>
        <stp>STRENGTH_METER</stp>
        <stp>EXC</stp>
        <tr r="C173" s="1"/>
      </tp>
      <tp>
        <v>1753130</v>
        <stp/>
        <stp>VOLUME</stp>
        <stp>AET</stp>
        <tr r="J22" s="1"/>
      </tp>
      <tp>
        <v>1719075</v>
        <stp/>
        <stp>VOLUME</stp>
        <stp>AEP</stp>
        <tr r="J20" s="1"/>
      </tp>
      <tp>
        <v>7563628</v>
        <stp/>
        <stp>VOLUME</stp>
        <stp>AES</stp>
        <tr r="J21" s="1"/>
      </tp>
      <tp>
        <v>1211752</v>
        <stp/>
        <stp>VOLUME</stp>
        <stp>AEE</stp>
        <tr r="J19" s="1"/>
      </tp>
      <tp>
        <v>1476794</v>
        <stp/>
        <stp>VOLUME</stp>
        <stp>AFL</stp>
        <tr r="J23" s="1"/>
      </tp>
      <tp>
        <v>2802615</v>
        <stp/>
        <stp>VOLUME</stp>
        <stp>AGN</stp>
        <tr r="J24" s="1"/>
      </tp>
      <tp t="s">
        <v>Range Bound</v>
        <stp/>
        <stp>STRENGTH_METER</stp>
        <stp>ETR</stp>
        <tr r="C171" s="1"/>
      </tp>
      <tp t="s">
        <v>Range Bound</v>
        <stp/>
        <stp>STRENGTH_METER</stp>
        <stp>ETN</stp>
        <tr r="C170" s="1"/>
      </tp>
      <tp>
        <v>386709</v>
        <stp/>
        <stp>VOLUME</stp>
        <stp>AIZ</stp>
        <tr r="J27" s="1"/>
      </tp>
      <tp>
        <v>3487016</v>
        <stp/>
        <stp>VOLUME</stp>
        <stp>AIV</stp>
        <tr r="J26" s="1"/>
      </tp>
      <tp>
        <v>5557309</v>
        <stp/>
        <stp>VOLUME</stp>
        <stp>AIG</stp>
        <tr r="J25" s="1"/>
      </tp>
      <tp>
        <v>2877819</v>
        <stp/>
        <stp>VOLUME</stp>
        <stp>ALL</stp>
        <tr r="J29" s="1"/>
      </tp>
      <tp>
        <v>2053879</v>
        <stp/>
        <stp>VOLUME</stp>
        <stp>AMT</stp>
        <tr r="J36" s="1"/>
      </tp>
      <tp t="s">
        <v>Range Bound</v>
        <stp/>
        <stp>STRENGTH_METER</stp>
        <stp>EQR</stp>
        <tr r="C165" s="1"/>
      </tp>
      <tp>
        <v>639498</v>
        <stp/>
        <stp>VOLUME</stp>
        <stp>AMP</stp>
        <tr r="J35" s="1"/>
      </tp>
      <tp t="s">
        <v>Range Bound</v>
        <stp/>
        <stp>STRENGTH_METER</stp>
        <stp>EQT</stp>
        <tr r="C166" s="1"/>
      </tp>
      <tp>
        <v>56567971</v>
        <stp/>
        <stp>VOLUME</stp>
        <stp>AMD</stp>
        <tr r="J33" s="1"/>
      </tp>
      <tp>
        <v>18413470</v>
        <stp/>
        <stp>VOLUME</stp>
        <stp>ANF</stp>
        <tr r="J39" s="1"/>
      </tp>
      <tp t="s">
        <v>Range Bound</v>
        <stp/>
        <stp>STRENGTH_METER</stp>
        <stp>ESV</stp>
        <tr r="C168" s="1"/>
      </tp>
      <tp>
        <v>912114</v>
        <stp/>
        <stp>VOLUME</stp>
        <stp>AON</stp>
        <tr r="J40" s="1"/>
      </tp>
      <tp>
        <v>1051077</v>
        <stp/>
        <stp>VOLUME</stp>
        <stp>APH</stp>
        <tr r="J44" s="1"/>
      </tp>
      <tp>
        <v>922188</v>
        <stp/>
        <stp>VOLUME</stp>
        <stp>APD</stp>
        <tr r="J43" s="1"/>
      </tp>
      <tp>
        <v>2110950</v>
        <stp/>
        <stp>VOLUME</stp>
        <stp>APA</stp>
        <tr r="J41" s="1"/>
      </tp>
      <tp>
        <v>6091098</v>
        <stp/>
        <stp>VOLUME</stp>
        <stp>APC</stp>
        <tr r="J42" s="1"/>
      </tp>
      <tp t="s">
        <v>Range Bound</v>
        <stp/>
        <stp>STRENGTH_METER</stp>
        <stp>EMR</stp>
        <tr r="C163" s="1"/>
      </tp>
      <tp t="s">
        <v>Range Bound</v>
        <stp/>
        <stp>STRENGTH_METER</stp>
        <stp>EMN</stp>
        <tr r="C162" s="1"/>
      </tp>
      <tp t="s">
        <v>N/A</v>
        <stp/>
        <stp>STRENGTH_METER</stp>
        <stp>EMC</stp>
        <tr r="C161" s="1"/>
      </tp>
      <tp>
        <v>0</v>
        <stp/>
        <stp>VOLUME</stp>
        <stp>ARG</stp>
        <tr r="J46" s="1"/>
      </tp>
      <tp t="s">
        <v>Range Bound</v>
        <stp/>
        <stp>STRENGTH_METER</stp>
        <stp>EOG</stp>
        <tr r="C164" s="1"/>
      </tp>
      <tp>
        <v>3232567</v>
        <stp/>
        <stp>VOLUME</stp>
        <stp>ATI</stp>
        <tr r="J47" s="1"/>
      </tp>
      <tp t="s">
        <v>Range Bound</v>
        <stp/>
        <stp>STRENGTH_METER</stp>
        <stp>EIX</stp>
        <tr r="C159" s="1"/>
      </tp>
      <tp>
        <v>599656</v>
        <stp/>
        <stp>VOLUME</stp>
        <stp>AVY</stp>
        <tr r="J50" s="1"/>
      </tp>
      <tp>
        <v>4026781</v>
        <stp/>
        <stp>VOLUME</stp>
        <stp>AVP</stp>
        <tr r="J49" s="1"/>
      </tp>
      <tp>
        <v>471145</v>
        <stp/>
        <stp>VOLUME</stp>
        <stp>AVB</stp>
        <tr r="J48" s="1"/>
      </tp>
      <tp>
        <v>3247661</v>
        <stp/>
        <stp>VOLUME</stp>
        <stp>AXP</stp>
        <tr r="J51" s="1"/>
      </tp>
      <tp t="s">
        <v>Range Bound</v>
        <stp/>
        <stp>STRENGTH_METER</stp>
        <stp>EFX</stp>
        <tr r="C158" s="1"/>
      </tp>
      <tp>
        <v>376773</v>
        <stp/>
        <stp>VOLUME</stp>
        <stp>AZO</stp>
        <tr r="J52" s="1"/>
      </tp>
      <tp t="s">
        <v>Range Bound</v>
        <stp/>
        <stp>STRENGTH_METER</stp>
        <stp>ECL</stp>
        <tr r="C156" s="1"/>
      </tp>
      <tp>
        <v>124.54</v>
        <stp/>
        <stp>LOW</stp>
        <stp>BXP</stp>
        <tr r="M77" s="1"/>
      </tp>
      <tp>
        <v>101.28</v>
        <stp/>
        <stp>BID</stp>
        <stp>LYB</stp>
        <tr r="F287" s="1"/>
      </tp>
      <tp>
        <v>71.7</v>
        <stp/>
        <stp>ASK</stp>
        <stp>OMC</stp>
        <tr r="G346" s="1"/>
      </tp>
      <tp t="s">
        <v>N/A</v>
        <stp/>
        <stp>BID</stp>
        <stp>LTD</stp>
        <tr r="F284" s="1"/>
      </tp>
      <tp>
        <v>22</v>
        <stp/>
        <stp>BID</stp>
        <stp>LUK</stp>
        <tr r="F285" s="1"/>
      </tp>
      <tp>
        <v>28.14</v>
        <stp/>
        <stp>LOW</stp>
        <stp>BSX</stp>
        <tr r="M74" s="1"/>
      </tp>
      <tp>
        <v>54.56</v>
        <stp/>
        <stp>BID</stp>
        <stp>LUV</stp>
        <tr r="F286" s="1"/>
      </tp>
      <tp>
        <v>31.2</v>
        <stp/>
        <stp>LOW</stp>
        <stp>BTU</stp>
        <tr r="M75" s="1"/>
      </tp>
      <tp>
        <v>0</v>
        <stp/>
        <stp>NET_CHANGE</stp>
        <stp>JDSU</stp>
        <tr r="E251" s="1"/>
      </tp>
      <tp>
        <v>0.49</v>
        <stp/>
        <stp>NET_CHANGE</stp>
        <stp>ADSK</stp>
        <tr r="E17" s="1"/>
      </tp>
      <tp>
        <v>83.67</v>
        <stp/>
        <stp>BID</stp>
        <stp>LSI</stp>
        <tr r="F283" s="1"/>
      </tp>
      <tp>
        <v>50.97</v>
        <stp/>
        <stp>ASK</stp>
        <stp>OKE</stp>
        <tr r="G345" s="1"/>
      </tp>
      <tp>
        <v>51.54</v>
        <stp/>
        <stp>LOW</stp>
        <stp>BWA</stp>
        <tr r="M76" s="1"/>
      </tp>
      <tp>
        <v>53.69</v>
        <stp/>
        <stp>BID</stp>
        <stp>LNC</stp>
        <tr r="F279" s="1"/>
      </tp>
      <tp>
        <v>0</v>
        <stp/>
        <stp>LOW</stp>
        <stp>BHI</stp>
        <tr r="M64" s="1"/>
      </tp>
      <tp>
        <v>80.05</v>
        <stp/>
        <stp>BID</stp>
        <stp>LOW</stp>
        <tr r="F281" s="1"/>
      </tp>
      <tp>
        <v>173.46</v>
        <stp/>
        <stp>BID</stp>
        <stp>LLL</stp>
        <tr r="F274" s="1"/>
      </tp>
      <tp>
        <v>82.5</v>
        <stp/>
        <stp>BID</stp>
        <stp>LLY</stp>
        <tr r="F276" s="1"/>
      </tp>
      <tp>
        <v>309</v>
        <stp/>
        <stp>BID</stp>
        <stp>LMT</stp>
        <tr r="F278" s="1"/>
      </tp>
      <tp>
        <v>0.11</v>
        <stp/>
        <stp>NET_CHANGE</stp>
        <stp>MDLZ</stp>
        <tr r="E298" s="1"/>
      </tp>
      <tp>
        <v>39.950000000000003</v>
        <stp/>
        <stp>LOW</stp>
        <stp>BLL</stp>
        <tr r="M68" s="1"/>
      </tp>
      <tp>
        <v>471.66</v>
        <stp/>
        <stp>LOW</stp>
        <stp>BLK</stp>
        <tr r="M67" s="1"/>
      </tp>
      <tp>
        <v>60.99</v>
        <stp/>
        <stp>LOW</stp>
        <stp>BMY</stp>
        <tr r="M71" s="1"/>
      </tp>
      <tp>
        <v>45.54</v>
        <stp/>
        <stp>LOW</stp>
        <stp>BMS</stp>
        <tr r="M70" s="1"/>
      </tp>
      <tp t="s">
        <v>N/A</v>
        <stp/>
        <stp>LOW</stp>
        <stp>BMC</stp>
        <tr r="M69" s="1"/>
      </tp>
      <tp>
        <v>63.02</v>
        <stp/>
        <stp>LOW</stp>
        <stp>BAX</stp>
        <tr r="M55" s="1"/>
      </tp>
      <tp>
        <v>26.444700000000001</v>
        <stp/>
        <stp>LOW</stp>
        <stp>BAC</stp>
        <tr r="M54" s="1"/>
      </tp>
      <tp>
        <v>54.34</v>
        <stp/>
        <stp>LOW</stp>
        <stp>BBY</stp>
        <tr r="M58" s="1"/>
      </tp>
      <tp>
        <v>46.33</v>
        <stp/>
        <stp>LOW</stp>
        <stp>BBT</stp>
        <tr r="M57" s="1"/>
      </tp>
      <tp>
        <v>54.6</v>
        <stp/>
        <stp>BID</stp>
        <stp>LEN</stp>
        <tr r="F271" s="1"/>
      </tp>
      <tp>
        <v>44</v>
        <stp/>
        <stp>BID</stp>
        <stp>LEG</stp>
        <tr r="F270" s="1"/>
      </tp>
      <tp>
        <v>332.75</v>
        <stp/>
        <stp>LOW</stp>
        <stp>BCR</stp>
        <tr r="M59" s="1"/>
      </tp>
      <tp>
        <v>219.92</v>
        <stp/>
        <stp>LOW</stp>
        <stp>BDX</stp>
        <tr r="M60" s="1"/>
      </tp>
      <tp>
        <v>68.430000000000007</v>
        <stp/>
        <stp>ASK</stp>
        <stp>OXY</stp>
        <tr r="G349" s="1"/>
      </tp>
      <tp>
        <v>-0.03</v>
        <stp/>
        <stp>NET_CHANGE</stp>
        <stp>PDCO</stp>
        <tr r="E358" s="1"/>
      </tp>
      <tp>
        <v>40.270000000000003</v>
        <stp/>
        <stp>LOW</stp>
        <stp>BEN</stp>
        <tr r="M62" s="1"/>
      </tp>
      <tp>
        <v>-0.06</v>
        <stp/>
        <stp>NET_CHANGE</stp>
        <stp>ADBE</stp>
        <tr r="E13" s="1"/>
      </tp>
      <tp>
        <v>-0.02</v>
        <stp/>
        <stp>NET_CHANGE</stp>
        <stp>NDAQ</stp>
        <tr r="E324" s="1"/>
      </tp>
      <tp>
        <v>17.03</v>
        <stp/>
        <stp>HIGH</stp>
        <stp>KMI</stp>
        <tr r="L263" s="1"/>
      </tp>
      <tp>
        <v>193.03</v>
        <stp/>
        <stp>OPEN</stp>
        <stp>ROK</stp>
        <tr r="K396" s="1"/>
      </tp>
      <tp>
        <v>115.36</v>
        <stp/>
        <stp>HIGH</stp>
        <stp>KMB</stp>
        <tr r="L262" s="1"/>
      </tp>
      <tp>
        <v>69.930000000000007</v>
        <stp/>
        <stp>HIGH</stp>
        <stp>KMX</stp>
        <tr r="L264" s="1"/>
      </tp>
      <tp>
        <v>255.13</v>
        <stp/>
        <stp>OPEN</stp>
        <stp>ROP</stp>
        <tr r="K397" s="1"/>
      </tp>
      <tp>
        <v>54.82</v>
        <stp/>
        <stp>OPEN</stp>
        <stp>RHI</stp>
        <tr r="K393" s="1"/>
      </tp>
      <tp>
        <v>126.2</v>
        <stp/>
        <stp>OPEN</stp>
        <stp>RHT</stp>
        <tr r="K394" s="1"/>
      </tp>
      <tp>
        <v>1125.8100999999999</v>
        <stp/>
        <stp>LOW</stp>
        <stp>AMZN</stp>
        <tr r="M37" s="1"/>
      </tp>
      <tp>
        <v>72.25</v>
        <stp/>
        <stp>Last</stp>
        <stp>ROST</stp>
        <tr r="B398" s="1"/>
      </tp>
      <tp>
        <v>170.98</v>
        <stp/>
        <stp>Last</stp>
        <stp>COST</stp>
        <tr r="B114" s="1"/>
      </tp>
      <tp>
        <v>7.95</v>
        <stp/>
        <stp>Last</stp>
        <stp>FOSL</stp>
        <tr r="B191" s="1"/>
      </tp>
      <tp>
        <v>19.53</v>
        <stp/>
        <stp>HIGH</stp>
        <stp>KIM</stp>
        <tr r="L260" s="1"/>
      </tp>
      <tp>
        <v>13.85</v>
        <stp/>
        <stp>OPEN</stp>
        <stp>RDC</stp>
        <tr r="K390" s="1"/>
      </tp>
      <tp>
        <v>18.349499999999999</v>
        <stp/>
        <stp>HIGH</stp>
        <stp>KEY</stp>
        <tr r="L259" s="1"/>
      </tp>
      <tp>
        <v>54.92</v>
        <stp/>
        <stp>BID</stp>
        <stp>AKAM</stp>
        <tr r="F28" s="1"/>
      </tp>
      <tp>
        <v>0</v>
        <stp/>
        <stp>OPEN</stp>
        <stp>RAI</stp>
        <tr r="K389" s="1"/>
      </tp>
      <tp>
        <v>76.2</v>
        <stp/>
        <stp>Mark</stp>
        <stp>SNDK</stp>
        <tr r="P415" s="1"/>
      </tp>
      <tp>
        <v>23.2</v>
        <stp/>
        <stp>52LOW</stp>
        <stp>SYMC</stp>
        <tr r="O431" s="1"/>
      </tp>
      <tp>
        <v>85.57</v>
        <stp/>
        <stp>52LOW</stp>
        <stp>WYNN</stp>
        <tr r="O491" s="1"/>
      </tp>
      <tp>
        <v>183.65</v>
        <stp/>
        <stp>OPEN</stp>
        <stp>RTN</stp>
        <tr r="K401" s="1"/>
      </tp>
      <tp>
        <v>26.3</v>
        <stp/>
        <stp>Mark</stp>
        <stp>JNPR</stp>
        <tr r="P254" s="1"/>
      </tp>
      <tp>
        <v>1019.09</v>
        <stp/>
        <stp>Last</stp>
        <stp>GOOG</stp>
        <tr r="B205" s="1"/>
      </tp>
      <tp>
        <v>169.54</v>
        <stp/>
        <stp>LOW</stp>
        <stp>AMGN</stp>
        <tr r="M34" s="1"/>
      </tp>
      <tp>
        <v>62.17</v>
        <stp/>
        <stp>Mark</stp>
        <stp>MNST</stp>
        <tr r="P306" s="1"/>
      </tp>
      <tp t="s">
        <v>N/A</v>
        <stp/>
        <stp>Last</stp>
        <stp>MOLX</stp>
        <tr r="B308" s="1"/>
      </tp>
      <tp t="s">
        <v>instrument=NFLX</v>
        <stp/>
        <stp>QUOTE_TREND</stp>
        <stp>NFLX</stp>
        <tr r="D328" s="1"/>
      </tp>
      <tp>
        <v>156.6</v>
        <stp/>
        <stp>Mark</stp>
        <stp>INTU</stp>
        <tr r="P240" s="1"/>
      </tp>
      <tp>
        <v>44.63</v>
        <stp/>
        <stp>Mark</stp>
        <stp>INTC</stp>
        <tr r="P239" s="1"/>
      </tp>
      <tp>
        <v>43.94</v>
        <stp/>
        <stp>HIGH</stp>
        <stp>KSS</stp>
        <tr r="L268" s="1"/>
      </tp>
      <tp>
        <v>17.32</v>
        <stp/>
        <stp>OPEN</stp>
        <stp>RRC</stp>
        <tr r="K399" s="1"/>
      </tp>
      <tp>
        <v>62.99</v>
        <stp/>
        <stp>OPEN</stp>
        <stp>RSG</stp>
        <tr r="K400" s="1"/>
      </tp>
      <tp>
        <v>56.085000000000001</v>
        <stp/>
        <stp>LOW</stp>
        <stp>AMAT</stp>
        <tr r="M32" s="1"/>
      </tp>
      <tp t="s">
        <v>instrument=FFIV</v>
        <stp/>
        <stp>QUOTE_TREND</stp>
        <stp>FFIV</stp>
        <tr r="D182" s="1"/>
      </tp>
      <tp t="s">
        <v>N/A</v>
        <stp/>
        <stp>STRENGTH_METER</stp>
        <stp>DTV</stp>
        <tr r="C150" s="1"/>
      </tp>
      <tp t="s">
        <v>Range Bound</v>
        <stp/>
        <stp>STRENGTH_METER</stp>
        <stp>DTE</stp>
        <tr r="C149" s="1"/>
      </tp>
      <tp t="s">
        <v>Range Bound</v>
        <stp/>
        <stp>STRENGTH_METER</stp>
        <stp>DUK</stp>
        <tr r="C151" s="1"/>
      </tp>
      <tp t="s">
        <v>Uptrend</v>
        <stp/>
        <stp>STRENGTH_METER</stp>
        <stp>DVN</stp>
        <tr r="C153" s="1"/>
      </tp>
      <tp t="s">
        <v>Downtrend</v>
        <stp/>
        <stp>STRENGTH_METER</stp>
        <stp>DVA</stp>
        <tr r="C152" s="1"/>
      </tp>
      <tp t="s">
        <v>Range Bound</v>
        <stp/>
        <stp>STRENGTH_METER</stp>
        <stp>DPS</stp>
        <tr r="C147" s="1"/>
      </tp>
      <tp t="s">
        <v>Range Bound</v>
        <stp/>
        <stp>STRENGTH_METER</stp>
        <stp>DRI</stp>
        <tr r="C148" s="1"/>
      </tp>
      <tp t="s">
        <v>Uptrend</v>
        <stp/>
        <stp>STRENGTH_METER</stp>
        <stp>DNR</stp>
        <tr r="C143" s="1"/>
      </tp>
      <tp t="s">
        <v>Range Bound</v>
        <stp/>
        <stp>STRENGTH_METER</stp>
        <stp>DNB</stp>
        <tr r="C142" s="1"/>
      </tp>
      <tp t="s">
        <v>Range Bound</v>
        <stp/>
        <stp>STRENGTH_METER</stp>
        <stp>DOW</stp>
        <tr r="C146" s="1"/>
      </tp>
      <tp t="s">
        <v>Range Bound</v>
        <stp/>
        <stp>STRENGTH_METER</stp>
        <stp>DOV</stp>
        <tr r="C145" s="1"/>
      </tp>
      <tp t="s">
        <v>Range Bound</v>
        <stp/>
        <stp>STRENGTH_METER</stp>
        <stp>DHR</stp>
        <tr r="C137" s="1"/>
      </tp>
      <tp t="s">
        <v>Uptrend</v>
        <stp/>
        <stp>STRENGTH_METER</stp>
        <stp>DHI</stp>
        <tr r="C136" s="1"/>
      </tp>
      <tp t="s">
        <v>Range Bound</v>
        <stp/>
        <stp>STRENGTH_METER</stp>
        <stp>DIS</stp>
        <tr r="C138" s="1"/>
      </tp>
      <tp t="s">
        <v>Range Bound</v>
        <stp/>
        <stp>STRENGTH_METER</stp>
        <stp>DFS</stp>
        <tr r="C133" s="1"/>
      </tp>
      <tp t="s">
        <v>Range Bound</v>
        <stp/>
        <stp>STRENGTH_METER</stp>
        <stp>DGX</stp>
        <tr r="C135" s="1"/>
      </tp>
      <tp t="s">
        <v>instrument=null</v>
        <stp/>
        <stp>QUOTE_TREND</stp>
        <stp>BF-B</stp>
        <tr r="D63" s="1"/>
      </tp>
      <tp>
        <v>92.92</v>
        <stp/>
        <stp>LOW</stp>
        <stp>AXP</stp>
        <tr r="M51" s="1"/>
      </tp>
      <tp>
        <v>46.46</v>
        <stp/>
        <stp>ASK</stp>
        <stp>LEG</stp>
        <tr r="G270" s="1"/>
      </tp>
      <tp>
        <v>58.94</v>
        <stp/>
        <stp>ASK</stp>
        <stp>LEN</stp>
        <tr r="G271" s="1"/>
      </tp>
      <tp>
        <v>618.11</v>
        <stp/>
        <stp>LOW</stp>
        <stp>AZO</stp>
        <tr r="M52" s="1"/>
      </tp>
      <tp>
        <v>68.42</v>
        <stp/>
        <stp>BID</stp>
        <stp>OXY</stp>
        <tr r="F349" s="1"/>
      </tp>
      <tp>
        <v>195.38</v>
        <stp/>
        <stp>ASK</stp>
        <stp>LLL</stp>
        <tr r="G274" s="1"/>
      </tp>
      <tp>
        <v>88.909599999999998</v>
        <stp/>
        <stp>LOW</stp>
        <stp>APH</stp>
        <tr r="M44" s="1"/>
      </tp>
      <tp>
        <v>160.35</v>
        <stp/>
        <stp>LOW</stp>
        <stp>APD</stp>
        <tr r="M43" s="1"/>
      </tp>
      <tp>
        <v>84.3</v>
        <stp/>
        <stp>ASK</stp>
        <stp>LLY</stp>
        <tr r="G276" s="1"/>
      </tp>
      <tp>
        <v>47.734999999999999</v>
        <stp/>
        <stp>LOW</stp>
        <stp>APC</stp>
        <tr r="M42" s="1"/>
      </tp>
      <tp>
        <v>40.659999999999997</v>
        <stp/>
        <stp>LOW</stp>
        <stp>APA</stp>
        <tr r="M41" s="1"/>
      </tp>
      <tp>
        <v>312.88</v>
        <stp/>
        <stp>ASK</stp>
        <stp>LMT</stp>
        <tr r="G278" s="1"/>
      </tp>
      <tp>
        <v>77.2</v>
        <stp/>
        <stp>ASK</stp>
        <stp>LNC</stp>
        <tr r="G279" s="1"/>
      </tp>
      <tp>
        <v>0</v>
        <stp/>
        <stp>LOW</stp>
        <stp>ARG</stp>
        <tr r="M46" s="1"/>
      </tp>
      <tp>
        <v>80.290000000000006</v>
        <stp/>
        <stp>ASK</stp>
        <stp>LOW</stp>
        <tr r="G281" s="1"/>
      </tp>
      <tp>
        <v>21.18</v>
        <stp/>
        <stp>LOW</stp>
        <stp>ATI</stp>
        <tr r="M47" s="1"/>
      </tp>
      <tp>
        <v>107.31</v>
        <stp/>
        <stp>LOW</stp>
        <stp>AVY</stp>
        <tr r="M50" s="1"/>
      </tp>
      <tp>
        <v>1.89</v>
        <stp/>
        <stp>LOW</stp>
        <stp>AVP</stp>
        <tr r="M49" s="1"/>
      </tp>
      <tp>
        <v>183.809</v>
        <stp/>
        <stp>LOW</stp>
        <stp>AVB</stp>
        <tr r="M48" s="1"/>
      </tp>
      <tp t="s">
        <v>N/A</v>
        <stp/>
        <stp>ASK</stp>
        <stp>LTD</stp>
        <tr r="G284" s="1"/>
      </tp>
      <tp>
        <v>96.96</v>
        <stp/>
        <stp>LOW</stp>
        <stp>AIZ</stp>
        <tr r="M27" s="1"/>
      </tp>
      <tp>
        <v>43.83</v>
        <stp/>
        <stp>LOW</stp>
        <stp>AIV</stp>
        <tr r="M26" s="1"/>
      </tp>
      <tp>
        <v>25.56</v>
        <stp/>
        <stp>ASK</stp>
        <stp>LUK</stp>
        <tr r="G285" s="1"/>
      </tp>
      <tp>
        <v>54.79</v>
        <stp/>
        <stp>ASK</stp>
        <stp>LUV</stp>
        <tr r="G286" s="1"/>
      </tp>
      <tp>
        <v>59.411000000000001</v>
        <stp/>
        <stp>LOW</stp>
        <stp>AIG</stp>
        <tr r="M25" s="1"/>
      </tp>
      <tp>
        <v>68.86</v>
        <stp/>
        <stp>BID</stp>
        <stp>OMC</stp>
        <tr r="F346" s="1"/>
      </tp>
      <tp>
        <v>99.05</v>
        <stp/>
        <stp>LOW</stp>
        <stp>ALL</stp>
        <tr r="M29" s="1"/>
      </tp>
      <tp>
        <v>49.25</v>
        <stp/>
        <stp>BID</stp>
        <stp>OKE</stp>
        <tr r="F345" s="1"/>
      </tp>
      <tp>
        <v>145.57</v>
        <stp/>
        <stp>LOW</stp>
        <stp>AMT</stp>
        <tr r="M36" s="1"/>
      </tp>
      <tp>
        <v>156.56</v>
        <stp/>
        <stp>LOW</stp>
        <stp>AMP</stp>
        <tr r="M35" s="1"/>
      </tp>
      <tp>
        <v>11.28</v>
        <stp/>
        <stp>LOW</stp>
        <stp>AMD</stp>
        <tr r="M33" s="1"/>
      </tp>
      <tp>
        <v>14.71</v>
        <stp/>
        <stp>LOW</stp>
        <stp>ANF</stp>
        <tr r="M39" s="1"/>
      </tp>
      <tp>
        <v>93.59</v>
        <stp/>
        <stp>ASK</stp>
        <stp>LSI</stp>
        <tr r="G283" s="1"/>
      </tp>
      <tp>
        <v>140.09</v>
        <stp/>
        <stp>LOW</stp>
        <stp>AON</stp>
        <tr r="M40" s="1"/>
      </tp>
      <tp>
        <v>55.22</v>
        <stp/>
        <stp>LOW</stp>
        <stp>ABT</stp>
        <tr r="M9" s="1"/>
      </tp>
      <tp>
        <v>77.58</v>
        <stp/>
        <stp>LOW</stp>
        <stp>ABC</stp>
        <tr r="M8" s="1"/>
      </tp>
      <tp>
        <v>0</v>
        <stp/>
        <stp>LOW</stp>
        <stp>ACT</stp>
        <tr r="M12" s="1"/>
      </tp>
      <tp>
        <v>144.75</v>
        <stp/>
        <stp>LOW</stp>
        <stp>ACN</stp>
        <tr r="M11" s="1"/>
      </tp>
      <tp>
        <v>0</v>
        <stp/>
        <stp>LOW</stp>
        <stp>ACE</stp>
        <tr r="M10" s="1"/>
      </tp>
      <tp>
        <v>0</v>
        <stp/>
        <stp>LOW</stp>
        <stp>ADT</stp>
        <tr r="M18" s="1"/>
      </tp>
      <tp>
        <v>110.2683</v>
        <stp/>
        <stp>LOW</stp>
        <stp>ADP</stp>
        <tr r="M16" s="1"/>
      </tp>
      <tp>
        <v>39.049999999999997</v>
        <stp/>
        <stp>LOW</stp>
        <stp>ADM</stp>
        <tr r="M15" s="1"/>
      </tp>
      <tp>
        <v>90.24</v>
        <stp/>
        <stp>LOW</stp>
        <stp>ADI</stp>
        <tr r="M14" s="1"/>
      </tp>
      <tp>
        <v>105.97</v>
        <stp/>
        <stp>ASK</stp>
        <stp>LYB</stp>
        <tr r="G287" s="1"/>
      </tp>
      <tp>
        <v>172.99</v>
        <stp/>
        <stp>LOW</stp>
        <stp>AET</stp>
        <tr r="M22" s="1"/>
      </tp>
      <tp>
        <v>10.6</v>
        <stp/>
        <stp>LOW</stp>
        <stp>AES</stp>
        <tr r="M21" s="1"/>
      </tp>
      <tp>
        <v>76.099999999999994</v>
        <stp/>
        <stp>LOW</stp>
        <stp>AEP</stp>
        <tr r="M20" s="1"/>
      </tp>
      <tp>
        <v>63.23</v>
        <stp/>
        <stp>LOW</stp>
        <stp>AEE</stp>
        <tr r="M19" s="1"/>
      </tp>
      <tp>
        <v>83.26</v>
        <stp/>
        <stp>LOW</stp>
        <stp>AFL</stp>
        <tr r="M23" s="1"/>
      </tp>
      <tp>
        <v>172.85</v>
        <stp/>
        <stp>LOW</stp>
        <stp>AGN</stp>
        <tr r="M24" s="1"/>
      </tp>
      <tp t="s">
        <v>N/A</v>
        <stp/>
        <stp>HIGH</stp>
        <stp>HNZ</stp>
        <tr r="L222" s="1"/>
      </tp>
      <tp>
        <v>28.52</v>
        <stp/>
        <stp>ASK</stp>
        <stp>URBN</stp>
        <tr r="G461" s="1"/>
      </tp>
      <tp>
        <v>146.999</v>
        <stp/>
        <stp>HIGH</stp>
        <stp>HON</stp>
        <tr r="L224" s="1"/>
      </tp>
      <tp>
        <v>47.96</v>
        <stp/>
        <stp>HIGH</stp>
        <stp>HOG</stp>
        <tr r="L223" s="1"/>
      </tp>
      <tp>
        <v>0</v>
        <stp/>
        <stp>HIGH</stp>
        <stp>HOT</stp>
        <tr r="L225" s="1"/>
      </tp>
      <tp>
        <v>60</v>
        <stp/>
        <stp>ASK</stp>
        <stp>BRCM</stp>
        <tr r="G72" s="1"/>
      </tp>
      <tp>
        <v>64.69</v>
        <stp/>
        <stp>ASK</stp>
        <stp>SRCL</stp>
        <tr r="G420" s="1"/>
      </tp>
      <tp>
        <v>48.98</v>
        <stp/>
        <stp>ASK</stp>
        <stp>ORCL</stp>
        <tr r="G347" s="1"/>
      </tp>
      <tp>
        <v>211.85</v>
        <stp/>
        <stp>ASK</stp>
        <stp>LRCX</stp>
        <tr r="G282" s="1"/>
      </tp>
      <tp>
        <v>94.61</v>
        <stp/>
        <stp>Last</stp>
        <stp>DLTR</stp>
        <tr r="B141" s="1"/>
      </tp>
      <tp>
        <v>24.16</v>
        <stp/>
        <stp>Last</stp>
        <stp>ALTR</stp>
        <tr r="B30" s="1"/>
      </tp>
      <tp>
        <v>0</v>
        <stp/>
        <stp>Last</stp>
        <stp>LLTC</stp>
        <tr r="B275" s="1"/>
      </tp>
      <tp t="s">
        <v>instrument=PETM</v>
        <stp/>
        <stp>QUOTE_TREND</stp>
        <stp>PETM</stp>
        <tr r="D361" s="1"/>
      </tp>
      <tp>
        <v>15.89</v>
        <stp/>
        <stp>BID</stp>
        <stp>YHOO</stp>
        <tr r="F500" s="1"/>
      </tp>
      <tp>
        <v>67.59</v>
        <stp/>
        <stp>ASK</stp>
        <stp>XRAY</stp>
        <tr r="G497" s="1"/>
      </tp>
      <tp t="s">
        <v>instrument=CERN</v>
        <stp/>
        <stp>QUOTE_TREND</stp>
        <stp>CERN</stp>
        <tr r="D91" s="1"/>
      </tp>
      <tp>
        <v>89</v>
        <stp/>
        <stp>ASK</stp>
        <stp>KRFT</stp>
        <tr r="G267" s="1"/>
      </tp>
      <tp>
        <v>88</v>
        <stp/>
        <stp>ASK</stp>
        <stp>PRGO</stp>
        <tr r="G378" s="1"/>
      </tp>
      <tp>
        <v>98.7</v>
        <stp/>
        <stp>Last</stp>
        <stp>DLPH</stp>
        <tr r="B140" s="1"/>
      </tp>
      <tp>
        <v>56.515000000000001</v>
        <stp/>
        <stp>HIGH</stp>
        <stp>HIG</stp>
        <tr r="L221" s="1"/>
      </tp>
      <tp>
        <v>56.5</v>
        <stp/>
        <stp>Mark</stp>
        <stp>AMAT</stp>
        <tr r="P32" s="1"/>
      </tp>
      <tp>
        <v>8.66</v>
        <stp/>
        <stp>OPEN</stp>
        <stp>QEP</stp>
        <tr r="K387" s="1"/>
      </tp>
      <tp>
        <v>44.62</v>
        <stp/>
        <stp>LOW</stp>
        <stp>INTC</stp>
        <tr r="M239" s="1"/>
      </tp>
      <tp>
        <v>155.27010000000001</v>
        <stp/>
        <stp>LOW</stp>
        <stp>INTU</stp>
        <tr r="M240" s="1"/>
      </tp>
      <tp>
        <v>44.91</v>
        <stp/>
        <stp>HIGH</stp>
        <stp>HES</stp>
        <tr r="L220" s="1"/>
      </tp>
      <tp>
        <v>30.66</v>
        <stp/>
        <stp>ASK</stp>
        <stp>TRIP</stp>
        <tr r="G446" s="1"/>
      </tp>
      <tp>
        <v>68.16</v>
        <stp/>
        <stp>HIGH</stp>
        <stp>HCN</stp>
        <tr r="L217" s="1"/>
      </tp>
      <tp>
        <v>26.9</v>
        <stp/>
        <stp>HIGH</stp>
        <stp>HCP</stp>
        <tr r="L218" s="1"/>
      </tp>
      <tp>
        <v>61.74</v>
        <stp/>
        <stp>LOW</stp>
        <stp>MNST</stp>
        <tr r="M306" s="1"/>
      </tp>
      <tp>
        <v>120</v>
        <stp/>
        <stp>ASK</stp>
        <stp>TROW</stp>
        <tr r="G447" s="1"/>
      </tp>
      <tp>
        <v>170</v>
        <stp/>
        <stp>Mark</stp>
        <stp>AMGN</stp>
        <tr r="P34" s="1"/>
      </tp>
      <tp>
        <v>110.87</v>
        <stp/>
        <stp>Last</stp>
        <stp>ALXN</stp>
        <tr r="B31" s="1"/>
      </tp>
      <tp>
        <v>26</v>
        <stp/>
        <stp>LOW</stp>
        <stp>JNPR</stp>
        <tr r="M254" s="1"/>
      </tp>
      <tp>
        <v>248.5</v>
        <stp/>
        <stp>ASK</stp>
        <stp>ORLY</stp>
        <tr r="G348" s="1"/>
      </tp>
      <tp>
        <v>41.98</v>
        <stp/>
        <stp>HIGH</stp>
        <stp>HAL</stp>
        <tr r="L212" s="1"/>
      </tp>
      <tp>
        <v>0</v>
        <stp/>
        <stp>HIGH</stp>
        <stp>HAR</stp>
        <tr r="L213" s="1"/>
      </tp>
      <tp>
        <v>96.9</v>
        <stp/>
        <stp>HIGH</stp>
        <stp>HAS</stp>
        <tr r="L214" s="1"/>
      </tp>
      <tp>
        <v>64.5</v>
        <stp/>
        <stp>ASK</stp>
        <stp>GRMN</stp>
        <tr r="G208" s="1"/>
      </tp>
      <tp t="s">
        <v>instrument=REGN</v>
        <stp/>
        <stp>QUOTE_TREND</stp>
        <stp>REGN</stp>
        <tr r="D391" s="1"/>
      </tp>
      <tp>
        <v>114.87</v>
        <stp/>
        <stp>ASK</stp>
        <stp>VRSN</stp>
        <tr r="G471" s="1"/>
      </tp>
      <tp>
        <v>1129.3699999999999</v>
        <stp/>
        <stp>Mark</stp>
        <stp>AMZN</stp>
        <tr r="P37" s="1"/>
      </tp>
      <tp>
        <v>101.65</v>
        <stp/>
        <stp>Last</stp>
        <stp>KLAC</stp>
        <tr r="B261" s="1"/>
      </tp>
      <tp t="s">
        <v>instrument=BEAM</v>
        <stp/>
        <stp>QUOTE_TREND</stp>
        <stp>BEAM</stp>
        <tr r="D61" s="1"/>
      </tp>
      <tp>
        <v>71.81</v>
        <stp/>
        <stp>Last</stp>
        <stp>XLNX</stp>
        <tr r="B495" s="1"/>
      </tp>
      <tp t="s">
        <v>instrument=DELL</v>
        <stp/>
        <stp>QUOTE_TREND</stp>
        <stp>DELL</stp>
        <tr r="D131" s="1"/>
      </tp>
      <tp t="s">
        <v>instrument=CELG</v>
        <stp/>
        <stp>QUOTE_TREND</stp>
        <stp>CELG</stp>
        <tr r="D90" s="1"/>
      </tp>
      <tp>
        <v>0</v>
        <stp/>
        <stp>LOW</stp>
        <stp>SNDK</stp>
        <tr r="M415" s="1"/>
      </tp>
      <tp>
        <v>237.69</v>
        <stp/>
        <stp>HIGH</stp>
        <stp>HUM</stp>
        <tr r="L234" s="1"/>
      </tp>
      <tp>
        <v>33.26</v>
        <stp/>
        <stp>HIGH</stp>
        <stp>HRL</stp>
        <tr r="L229" s="1"/>
      </tp>
      <tp>
        <v>26.199200000000001</v>
        <stp/>
        <stp>HIGH</stp>
        <stp>HRB</stp>
        <tr r="L228" s="1"/>
      </tp>
      <tp>
        <v>141.12</v>
        <stp/>
        <stp>HIGH</stp>
        <stp>HRS</stp>
        <tr r="L230" s="1"/>
      </tp>
      <tp>
        <v>110.64</v>
        <stp/>
        <stp>HIGH</stp>
        <stp>HSY</stp>
        <tr r="L233" s="1"/>
      </tp>
      <tp>
        <v>0</v>
        <stp/>
        <stp>HIGH</stp>
        <stp>HSP</stp>
        <tr r="L231" s="1"/>
      </tp>
      <tp>
        <v>20.02</v>
        <stp/>
        <stp>HIGH</stp>
        <stp>HST</stp>
        <tr r="L232" s="1"/>
      </tp>
      <tp>
        <v>21.87</v>
        <stp/>
        <stp>HIGH</stp>
        <stp>HPQ</stp>
        <tr r="L227" s="1"/>
      </tp>
      <tp>
        <v>46.53</v>
        <stp/>
        <stp>Last</stp>
        <stp>FLIR</stp>
        <tr r="B187" s="1"/>
      </tp>
      <tp>
        <v>76.5</v>
        <stp/>
        <stp>BID</stp>
        <stp>CHRW</stp>
        <tr r="F95" s="1"/>
      </tp>
      <tp>
        <v>2308033</v>
        <stp/>
        <stp>VOLUME</stp>
        <stp>CAT</stp>
        <tr r="J83" s="1"/>
      </tp>
      <tp>
        <v>0</v>
        <stp/>
        <stp>VOLUME</stp>
        <stp>CAM</stp>
        <tr r="J82" s="1"/>
      </tp>
      <tp>
        <v>3502686</v>
        <stp/>
        <stp>VOLUME</stp>
        <stp>CAH</stp>
        <tr r="J81" s="1"/>
      </tp>
      <tp>
        <v>2257597</v>
        <stp/>
        <stp>VOLUME</stp>
        <stp>CAG</stp>
        <tr r="J80" s="1"/>
      </tp>
      <tp>
        <v>29721559</v>
        <stp/>
        <stp>VOLUME</stp>
        <stp>CBS</stp>
        <tr r="J86" s="1"/>
      </tp>
      <tp>
        <v>1578766</v>
        <stp/>
        <stp>VOLUME</stp>
        <stp>CBG</stp>
        <tr r="J85" s="1"/>
      </tp>
      <tp>
        <v>1838107</v>
        <stp/>
        <stp>VOLUME</stp>
        <stp>CCL</stp>
        <tr r="J89" s="1"/>
      </tp>
      <tp>
        <v>2639248</v>
        <stp/>
        <stp>VOLUME</stp>
        <stp>CCI</stp>
        <tr r="J88" s="1"/>
      </tp>
      <tp>
        <v>1020137</v>
        <stp/>
        <stp>VOLUME</stp>
        <stp>CCE</stp>
        <tr r="J87" s="1"/>
      </tp>
      <tp t="s">
        <v>N/A</v>
        <stp/>
        <stp>VOLUME</stp>
        <stp>CFN</stp>
        <tr r="J93" s="1"/>
      </tp>
      <tp>
        <v>21734985</v>
        <stp/>
        <stp>VOLUME</stp>
        <stp>CHK</stp>
        <tr r="J94" s="1"/>
      </tp>
      <tp t="s">
        <v>Range Bound</v>
        <stp/>
        <stp>STRENGTH_METER</stp>
        <stp>GWW</stp>
        <tr r="C211" s="1"/>
      </tp>
      <tp>
        <v>632801</v>
        <stp/>
        <stp>VOLUME</stp>
        <stp>CLX</stp>
        <tr r="J100" s="1"/>
      </tp>
      <tp t="s">
        <v>Range Bound</v>
        <stp/>
        <stp>STRENGTH_METER</stp>
        <stp>GPS</stp>
        <tr r="C207" s="1"/>
      </tp>
      <tp t="s">
        <v>Range Bound</v>
        <stp/>
        <stp>STRENGTH_METER</stp>
        <stp>GPC</stp>
        <tr r="C206" s="1"/>
      </tp>
      <tp>
        <v>6020101</v>
        <stp/>
        <stp>VOLUME</stp>
        <stp>CLF</stp>
        <tr r="J99" s="1"/>
      </tp>
      <tp>
        <v>1627053</v>
        <stp/>
        <stp>VOLUME</stp>
        <stp>CMS</stp>
        <tr r="J106" s="1"/>
      </tp>
      <tp>
        <v>3521053</v>
        <stp/>
        <stp>VOLUME</stp>
        <stp>CMI</stp>
        <tr r="J105" s="1"/>
      </tp>
      <tp>
        <v>923291</v>
        <stp/>
        <stp>VOLUME</stp>
        <stp>CME</stp>
        <tr r="J103" s="1"/>
      </tp>
      <tp>
        <v>1274980</v>
        <stp/>
        <stp>VOLUME</stp>
        <stp>CMG</stp>
        <tr r="J104" s="1"/>
      </tp>
      <tp>
        <v>1260751</v>
        <stp/>
        <stp>VOLUME</stp>
        <stp>CMA</stp>
        <tr r="J101" s="1"/>
      </tp>
      <tp>
        <v>2646782</v>
        <stp/>
        <stp>VOLUME</stp>
        <stp>CNX</stp>
        <tr r="J108" s="1"/>
      </tp>
      <tp>
        <v>2902240</v>
        <stp/>
        <stp>VOLUME</stp>
        <stp>CNP</stp>
        <tr r="J107" s="1"/>
      </tp>
      <tp t="s">
        <v>N/A</v>
        <stp/>
        <stp>VOLUME</stp>
        <stp>COV</stp>
        <tr r="J115" s="1"/>
      </tp>
      <tp>
        <v>4127580</v>
        <stp/>
        <stp>VOLUME</stp>
        <stp>COP</stp>
        <tr r="J113" s="1"/>
      </tp>
      <tp>
        <v>892532</v>
        <stp/>
        <stp>VOLUME</stp>
        <stp>COL</stp>
        <tr r="J112" s="1"/>
      </tp>
      <tp>
        <v>0</v>
        <stp/>
        <stp>VOLUME</stp>
        <stp>COH</stp>
        <tr r="J111" s="1"/>
      </tp>
      <tp>
        <v>5598370</v>
        <stp/>
        <stp>VOLUME</stp>
        <stp>COG</stp>
        <tr r="J110" s="1"/>
      </tp>
      <tp>
        <v>1635825</v>
        <stp/>
        <stp>VOLUME</stp>
        <stp>COF</stp>
        <tr r="J109" s="1"/>
      </tp>
      <tp t="s">
        <v>Range Bound</v>
        <stp/>
        <stp>STRENGTH_METER</stp>
        <stp>GLW</stp>
        <tr r="C202" s="1"/>
      </tp>
      <tp>
        <v>4077333</v>
        <stp/>
        <stp>VOLUME</stp>
        <stp>CPB</stp>
        <tr r="J116" s="1"/>
      </tp>
      <tp t="s">
        <v>Downtrend</v>
        <stp/>
        <stp>STRENGTH_METER</stp>
        <stp>GME</stp>
        <tr r="C203" s="1"/>
      </tp>
      <tp t="s">
        <v>Range Bound</v>
        <stp/>
        <stp>STRENGTH_METER</stp>
        <stp>GNW</stp>
        <tr r="C204" s="1"/>
      </tp>
      <tp>
        <v>4266431</v>
        <stp/>
        <stp>VOLUME</stp>
        <stp>CRM</stp>
        <tr r="J117" s="1"/>
      </tp>
      <tp>
        <v>6169132</v>
        <stp/>
        <stp>VOLUME</stp>
        <stp>CSX</stp>
        <tr r="J120" s="1"/>
      </tp>
      <tp>
        <v>0</v>
        <stp/>
        <stp>VOLUME</stp>
        <stp>CSC</stp>
        <tr r="J118" s="1"/>
      </tp>
      <tp>
        <v>12873860</v>
        <stp/>
        <stp>VOLUME</stp>
        <stp>CTL</stp>
        <tr r="J122" s="1"/>
      </tp>
      <tp t="s">
        <v>Range Bound</v>
        <stp/>
        <stp>STRENGTH_METER</stp>
        <stp>GIS</stp>
        <tr r="C201" s="1"/>
      </tp>
      <tp>
        <v>4328840</v>
        <stp/>
        <stp>VOLUME</stp>
        <stp>CVX</stp>
        <tr r="J127" s="1"/>
      </tp>
      <tp>
        <v>5179110</v>
        <stp/>
        <stp>VOLUME</stp>
        <stp>CVS</stp>
        <tr r="J126" s="1"/>
      </tp>
      <tp>
        <v>0</v>
        <stp/>
        <stp>VOLUME</stp>
        <stp>CVC</stp>
        <tr r="J125" s="1"/>
      </tp>
      <tp t="s">
        <v>N/A</v>
        <stp/>
        <stp>STRENGTH_METER</stp>
        <stp>GAS</stp>
        <tr r="C196" s="1"/>
      </tp>
      <tp t="s">
        <v>Uptrend</v>
        <stp/>
        <stp>STRENGTH_METER</stp>
        <stp>GCI</stp>
        <tr r="C197" s="1"/>
      </tp>
      <tp>
        <v>79.56</v>
        <stp/>
        <stp>ASK</stp>
        <stp>MDT</stp>
        <tr r="G299" s="1"/>
      </tp>
      <tp>
        <v>51.69</v>
        <stp/>
        <stp>ASK</stp>
        <stp>MET</stp>
        <tr r="G300" s="1"/>
      </tp>
      <tp>
        <v>64.33</v>
        <stp/>
        <stp>ASK</stp>
        <stp>MAC</stp>
        <tr r="G290" s="1"/>
      </tp>
      <tp>
        <v>126.49</v>
        <stp/>
        <stp>ASK</stp>
        <stp>MAR</stp>
        <tr r="G291" s="1"/>
      </tp>
      <tp>
        <v>40</v>
        <stp/>
        <stp>ASK</stp>
        <stp>MAS</stp>
        <tr r="G292" s="1"/>
      </tp>
      <tp>
        <v>18.7</v>
        <stp/>
        <stp>ASK</stp>
        <stp>MAT</stp>
        <tr r="G293" s="1"/>
      </tp>
      <tp>
        <v>166.81</v>
        <stp/>
        <stp>ASK</stp>
        <stp>MCD</stp>
        <tr r="G294" s="1"/>
      </tp>
      <tp>
        <v>145</v>
        <stp/>
        <stp>ASK</stp>
        <stp>MCK</stp>
        <tr r="G296" s="1"/>
      </tp>
      <tp>
        <v>150</v>
        <stp/>
        <stp>ASK</stp>
        <stp>MCO</stp>
        <tr r="G297" s="1"/>
      </tp>
      <tp t="s">
        <v>N/A</v>
        <stp/>
        <stp>BID</stp>
        <stp>NYX</stp>
        <tr r="F343" s="1"/>
      </tp>
      <tp>
        <v>82.36</v>
        <stp/>
        <stp>ASK</stp>
        <stp>MMC</stp>
        <tr r="G304" s="1"/>
      </tp>
      <tp>
        <v>28.51</v>
        <stp/>
        <stp>BID</stp>
        <stp>NWL</stp>
        <tr r="F341" s="1"/>
      </tp>
      <tp>
        <v>230.29</v>
        <stp/>
        <stp>ASK</stp>
        <stp>MMM</stp>
        <tr r="G305" s="1"/>
      </tp>
      <tp>
        <v>54.32</v>
        <stp/>
        <stp>BID</stp>
        <stp>NUE</stp>
        <tr r="F339" s="1"/>
      </tp>
      <tp>
        <v>120.99</v>
        <stp/>
        <stp>ASK</stp>
        <stp>MON</stp>
        <tr r="G309" s="1"/>
      </tp>
      <tp>
        <v>22.97</v>
        <stp/>
        <stp>ASK</stp>
        <stp>MOS</stp>
        <tr r="G310" s="1"/>
      </tp>
      <tp>
        <v>29.4</v>
        <stp/>
        <stp>BID</stp>
        <stp>NRG</stp>
        <tr r="F334" s="1"/>
      </tp>
      <tp t="s">
        <v>N/A</v>
        <stp/>
        <stp>ASK</stp>
        <stp>MHP</stp>
        <tr r="G301" s="1"/>
      </tp>
      <tp>
        <v>122.1</v>
        <stp/>
        <stp>BID</stp>
        <stp>NSC</stp>
        <tr r="F335" s="1"/>
      </tp>
      <tp>
        <v>90.01</v>
        <stp/>
        <stp>ASK</stp>
        <stp>MJN</stp>
        <tr r="G302" s="1"/>
      </tp>
      <tp>
        <v>105</v>
        <stp/>
        <stp>ASK</stp>
        <stp>MKC</stp>
        <tr r="G303" s="1"/>
      </tp>
      <tp>
        <v>163.63999999999999</v>
        <stp/>
        <stp>ASK</stp>
        <stp>MTB</stp>
        <tr r="G317" s="1"/>
      </tp>
      <tp>
        <v>295.39999999999998</v>
        <stp/>
        <stp>BID</stp>
        <stp>NOC</stp>
        <tr r="F332" s="1"/>
      </tp>
      <tp>
        <v>29.8</v>
        <stp/>
        <stp>ASK</stp>
        <stp>MUR</stp>
        <tr r="G319" s="1"/>
      </tp>
      <tp>
        <v>31.92</v>
        <stp/>
        <stp>BID</stp>
        <stp>NOV</stp>
        <tr r="F333" s="1"/>
      </tp>
      <tp>
        <v>113.42</v>
        <stp/>
        <stp>ASK</stp>
        <stp>MWV</stp>
        <tr r="G320" s="1"/>
      </tp>
      <tp>
        <v>-2.31</v>
        <stp/>
        <stp>NET_CHANGE</stp>
        <stp>NFLX</stp>
        <tr r="E328" s="1"/>
      </tp>
      <tp>
        <v>63.05</v>
        <stp/>
        <stp>ASK</stp>
        <stp>MPC</stp>
        <tr r="G311" s="1"/>
      </tp>
      <tp>
        <v>59.03</v>
        <stp/>
        <stp>BID</stp>
        <stp>NKE</stp>
        <tr r="F331" s="1"/>
      </tp>
      <tp>
        <v>55.26</v>
        <stp/>
        <stp>ASK</stp>
        <stp>MRK</stp>
        <tr r="G312" s="1"/>
      </tp>
      <tp>
        <v>15.08</v>
        <stp/>
        <stp>ASK</stp>
        <stp>MRO</stp>
        <tr r="G313" s="1"/>
      </tp>
      <tp>
        <v>1.52</v>
        <stp/>
        <stp>NET_CHANGE</stp>
        <stp>FFIV</stp>
        <tr r="E182" s="1"/>
      </tp>
      <tp>
        <v>94.86</v>
        <stp/>
        <stp>ASK</stp>
        <stp>MSI</stp>
        <tr r="G316" s="1"/>
      </tp>
      <tp>
        <v>26.5</v>
        <stp/>
        <stp>BID</stp>
        <stp>NFX</stp>
        <tr r="F329" s="1"/>
      </tp>
      <tp>
        <v>36.119999999999997</v>
        <stp/>
        <stp>BID</stp>
        <stp>NEM</stp>
        <tr r="F327" s="1"/>
      </tp>
      <tp>
        <v>150</v>
        <stp/>
        <stp>BID</stp>
        <stp>NEE</stp>
        <tr r="F326" s="1"/>
      </tp>
      <tp>
        <v>25.86</v>
        <stp/>
        <stp>BID</stp>
        <stp>NBL</stp>
        <tr r="F322" s="1"/>
      </tp>
      <tp>
        <v>5.5</v>
        <stp/>
        <stp>BID</stp>
        <stp>NBR</stp>
        <tr r="F323" s="1"/>
      </tp>
      <tp>
        <v>37.6</v>
        <stp/>
        <stp>ASK</stp>
        <stp>MYL</stp>
        <tr r="G321" s="1"/>
      </tp>
      <tp>
        <v>46.53</v>
        <stp/>
        <stp>Mark</stp>
        <stp>FLIR</stp>
        <tr r="P187" s="1"/>
      </tp>
      <tp>
        <v>0</v>
        <stp/>
        <stp>OPEN</stp>
        <stp>PLL</stp>
        <tr r="K370" s="1"/>
      </tp>
      <tp>
        <v>66.52</v>
        <stp/>
        <stp>OPEN</stp>
        <stp>PLD</stp>
        <tr r="K369" s="1"/>
      </tp>
      <tp>
        <v>72.319999999999993</v>
        <stp/>
        <stp>BID</stp>
        <stp>GILD</stp>
        <tr r="F200" s="1"/>
      </tp>
      <tp>
        <v>35.89</v>
        <stp/>
        <stp>ASK</stp>
        <stp>CSCO</stp>
        <tr r="G119" s="1"/>
      </tp>
      <tp>
        <v>131.59</v>
        <stp/>
        <stp>OPEN</stp>
        <stp>PNC</stp>
        <tr r="K372" s="1"/>
      </tp>
      <tp>
        <v>90.58</v>
        <stp/>
        <stp>OPEN</stp>
        <stp>PNW</stp>
        <tr r="K374" s="1"/>
      </tp>
      <tp>
        <v>67.790000000000006</v>
        <stp/>
        <stp>OPEN</stp>
        <stp>PNR</stp>
        <tr r="K373" s="1"/>
      </tp>
      <tp>
        <v>46.16</v>
        <stp/>
        <stp>BID</stp>
        <stp>ZION</stp>
        <tr r="F502" s="1"/>
      </tp>
      <tp>
        <v>0</v>
        <stp/>
        <stp>OPEN</stp>
        <stp>POM</stp>
        <tr r="K375" s="1"/>
      </tp>
      <tp>
        <v>69.48</v>
        <stp/>
        <stp>BID</stp>
        <stp>CINF</stp>
        <tr r="F97" s="1"/>
      </tp>
      <tp>
        <v>31.8</v>
        <stp/>
        <stp>OPEN</stp>
        <stp>PHM</stp>
        <tr r="K367" s="1"/>
      </tp>
      <tp>
        <v>307</v>
        <stp/>
        <stp>BID</stp>
        <stp>BIIB</stp>
        <tr r="F65" s="1"/>
      </tp>
      <tp>
        <v>82.4</v>
        <stp/>
        <stp>ASK</stp>
        <stp>MSFT</stp>
        <tr r="G315" s="1"/>
      </tp>
      <tp t="s">
        <v>instrument=ADSK</v>
        <stp/>
        <stp>QUOTE_TREND</stp>
        <stp>ADSK</stp>
        <tr r="D17" s="1"/>
      </tp>
      <tp t="s">
        <v>instrument=JDSU</v>
        <stp/>
        <stp>QUOTE_TREND</stp>
        <stp>JDSU</stp>
        <tr r="D251" s="1"/>
      </tp>
      <tp>
        <v>72.05</v>
        <stp/>
        <stp>OPEN</stp>
        <stp>PKI</stp>
        <tr r="K368" s="1"/>
      </tp>
      <tp>
        <v>71.81</v>
        <stp/>
        <stp>Mark</stp>
        <stp>XLNX</stp>
        <tr r="P495" s="1"/>
      </tp>
      <tp>
        <v>148.94999999999999</v>
        <stp/>
        <stp>HIGH</stp>
        <stp>IFF</stp>
        <tr r="L237" s="1"/>
      </tp>
      <tp>
        <v>101.65</v>
        <stp/>
        <stp>Mark</stp>
        <stp>KLAC</stp>
        <tr r="P261" s="1"/>
      </tp>
      <tp>
        <v>51.08</v>
        <stp/>
        <stp>OPEN</stp>
        <stp>PEG</stp>
        <tr r="K359" s="1"/>
      </tp>
      <tp>
        <v>114.73</v>
        <stp/>
        <stp>OPEN</stp>
        <stp>PEP</stp>
        <tr r="K360" s="1"/>
      </tp>
      <tp>
        <v>29.36</v>
        <stp/>
        <stp>HIGH</stp>
        <stp>IGT</stp>
        <tr r="L238" s="1"/>
      </tp>
      <tp>
        <v>35.369999999999997</v>
        <stp/>
        <stp>OPEN</stp>
        <stp>PFE</stp>
        <tr r="K362" s="1"/>
      </tp>
      <tp>
        <v>68.040000000000006</v>
        <stp/>
        <stp>OPEN</stp>
        <stp>PFG</stp>
        <tr r="K363" s="1"/>
      </tp>
      <tp>
        <v>51.39</v>
        <stp/>
        <stp>OPEN</stp>
        <stp>PGR</stp>
        <tr r="K365" s="1"/>
      </tp>
      <tp>
        <v>3.75</v>
        <stp/>
        <stp>BID</stp>
        <stp>LIFE</stp>
        <tr r="F273" s="1"/>
      </tp>
      <tp>
        <v>150.15</v>
        <stp/>
        <stp>HIGH</stp>
        <stp>IBM</stp>
        <tr r="L235" s="1"/>
      </tp>
      <tp>
        <v>1129.8800000000001</v>
        <stp/>
        <stp>Last</stp>
        <stp>AMZN</stp>
        <tr r="B37" s="1"/>
      </tp>
      <tp>
        <v>26.07</v>
        <stp/>
        <stp>BID</stp>
        <stp>VIAB</stp>
        <tr r="F467" s="1"/>
      </tp>
      <tp>
        <v>139.97</v>
        <stp/>
        <stp>BID</stp>
        <stp>SIAL</stp>
        <tr r="F410" s="1"/>
      </tp>
      <tp>
        <v>66.75</v>
        <stp/>
        <stp>HIGH</stp>
        <stp>ICE</stp>
        <tr r="L236" s="1"/>
      </tp>
      <tp>
        <v>7.5709999999999997</v>
        <stp/>
        <stp>LOW</stp>
        <stp>FOSL</stp>
        <tr r="M191" s="1"/>
      </tp>
      <tp>
        <v>71.02</v>
        <stp/>
        <stp>LOW</stp>
        <stp>ROST</stp>
        <tr r="M398" s="1"/>
      </tp>
      <tp>
        <v>170.65</v>
        <stp/>
        <stp>LOW</stp>
        <stp>COST</stp>
        <tr r="M114" s="1"/>
      </tp>
      <tp>
        <v>9.94</v>
        <stp/>
        <stp>OPEN</stp>
        <stp>PBI</stp>
        <tr r="K352" s="1"/>
      </tp>
      <tp>
        <v>60.53</v>
        <stp/>
        <stp>ASK</stp>
        <stp>FSLR</stp>
        <tr r="G193" s="1"/>
      </tp>
      <tp>
        <v>0</v>
        <stp/>
        <stp>OPEN</stp>
        <stp>PCL</stp>
        <tr r="K355" s="1"/>
      </tp>
      <tp>
        <v>55.01</v>
        <stp/>
        <stp>OPEN</stp>
        <stp>PCG</stp>
        <tr r="K354" s="1"/>
      </tp>
      <tp>
        <v>0</v>
        <stp/>
        <stp>OPEN</stp>
        <stp>PCP</stp>
        <tr r="K357" s="1"/>
      </tp>
      <tp>
        <v>400</v>
        <stp/>
        <stp>ASK</stp>
        <stp>ISRG</stp>
        <tr r="G245" s="1"/>
      </tp>
      <tp>
        <v>63</v>
        <stp/>
        <stp>ASK</stp>
        <stp>ESRX</stp>
        <tr r="G167" s="1"/>
      </tp>
      <tp>
        <v>110.87</v>
        <stp/>
        <stp>Mark</stp>
        <stp>ALXN</stp>
        <tr r="P31" s="1"/>
      </tp>
      <tp>
        <v>170</v>
        <stp/>
        <stp>Last</stp>
        <stp>AMGN</stp>
        <tr r="B34" s="1"/>
      </tp>
      <tp>
        <v>1017.75</v>
        <stp/>
        <stp>LOW</stp>
        <stp>GOOG</stp>
        <tr r="M205" s="1"/>
      </tp>
      <tp t="s">
        <v>N/A</v>
        <stp/>
        <stp>LOW</stp>
        <stp>MOLX</stp>
        <tr r="M308" s="1"/>
      </tp>
      <tp>
        <v>151.43</v>
        <stp/>
        <stp>OPEN</stp>
        <stp>PXD</stp>
        <tr r="K385" s="1"/>
      </tp>
      <tp t="s">
        <v>instrument=ADBE</v>
        <stp/>
        <stp>QUOTE_TREND</stp>
        <stp>ADBE</stp>
        <tr r="D13" s="1"/>
      </tp>
      <tp t="s">
        <v>instrument=PDCO</v>
        <stp/>
        <stp>QUOTE_TREND</stp>
        <stp>PDCO</stp>
        <tr r="D358" s="1"/>
      </tp>
      <tp>
        <v>56.49</v>
        <stp/>
        <stp>Last</stp>
        <stp>AMAT</stp>
        <tr r="B32" s="1"/>
      </tp>
      <tp t="s">
        <v>instrument=NDAQ</v>
        <stp/>
        <stp>QUOTE_TREND</stp>
        <stp>NDAQ</stp>
        <tr r="D324" s="1"/>
      </tp>
      <tp>
        <v>35.07</v>
        <stp/>
        <stp>HIGH</stp>
        <stp>IVZ</stp>
        <tr r="L247" s="1"/>
      </tp>
      <tp>
        <v>98.7</v>
        <stp/>
        <stp>Mark</stp>
        <stp>DLPH</stp>
        <tr r="P140" s="1"/>
      </tp>
      <tp>
        <v>28.39</v>
        <stp/>
        <stp>BID</stp>
        <stp>FITB</stp>
        <tr r="F186" s="1"/>
      </tp>
      <tp>
        <v>130.66999999999999</v>
        <stp/>
        <stp>OPEN</stp>
        <stp>PVH</stp>
        <tr r="K382" s="1"/>
      </tp>
      <tp>
        <v>157.65</v>
        <stp/>
        <stp>HIGH</stp>
        <stp>ITW</stp>
        <tr r="L246" s="1"/>
      </tp>
      <tp t="s">
        <v>instrument=MDLZ</v>
        <stp/>
        <stp>QUOTE_TREND</stp>
        <stp>MDLZ</stp>
        <tr r="D298" s="1"/>
      </tp>
      <tp>
        <v>35.81</v>
        <stp/>
        <stp>OPEN</stp>
        <stp>PWR</stp>
        <tr r="K383" s="1"/>
      </tp>
      <tp>
        <v>36.130000000000003</v>
        <stp/>
        <stp>OPEN</stp>
        <stp>PPL</stp>
        <tr r="K377" s="1"/>
      </tp>
      <tp>
        <v>40.78</v>
        <stp/>
        <stp>HIGH</stp>
        <stp>IRM</stp>
        <tr r="L244" s="1"/>
      </tp>
      <tp>
        <v>114</v>
        <stp/>
        <stp>OPEN</stp>
        <stp>PPG</stp>
        <tr r="K376" s="1"/>
      </tp>
      <tp>
        <v>94.61</v>
        <stp/>
        <stp>Mark</stp>
        <stp>DLTR</stp>
        <tr r="P141" s="1"/>
      </tp>
      <tp>
        <v>24.16</v>
        <stp/>
        <stp>Mark</stp>
        <stp>ALTR</stp>
        <tr r="P30" s="1"/>
      </tp>
      <tp>
        <v>65</v>
        <stp/>
        <stp>Mark</stp>
        <stp>LLTC</stp>
        <tr r="P275" s="1"/>
      </tp>
      <tp>
        <v>19.21</v>
        <stp/>
        <stp>HIGH</stp>
        <stp>IPG</stp>
        <tr r="L242" s="1"/>
      </tp>
      <tp>
        <v>109.81</v>
        <stp/>
        <stp>OPEN</stp>
        <stp>PRU</stp>
        <tr r="K379" s="1"/>
      </tp>
      <tp>
        <v>126.53</v>
        <stp/>
        <stp>BID</stp>
        <stp>FISV</stp>
        <tr r="F185" s="1"/>
      </tp>
      <tp>
        <v>212.75</v>
        <stp/>
        <stp>OPEN</stp>
        <stp>PSA</stp>
        <tr r="K380" s="1"/>
      </tp>
      <tp>
        <v>92.24</v>
        <stp/>
        <stp>OPEN</stp>
        <stp>PSX</stp>
        <tr r="K381" s="1"/>
      </tp>
      <tp>
        <v>4874583</v>
        <stp/>
        <stp>VOLUME</stp>
        <stp>BAX</stp>
        <tr r="J55" s="1"/>
      </tp>
      <tp>
        <v>48306498</v>
        <stp/>
        <stp>VOLUME</stp>
        <stp>BAC</stp>
        <tr r="J54" s="1"/>
      </tp>
      <tp>
        <v>5160202</v>
        <stp/>
        <stp>VOLUME</stp>
        <stp>BBY</stp>
        <tr r="J58" s="1"/>
      </tp>
      <tp>
        <v>2669428</v>
        <stp/>
        <stp>VOLUME</stp>
        <stp>BBT</stp>
        <tr r="J57" s="1"/>
      </tp>
      <tp>
        <v>297237</v>
        <stp/>
        <stp>VOLUME</stp>
        <stp>BCR</stp>
        <tr r="J59" s="1"/>
      </tp>
      <tp>
        <v>718967</v>
        <stp/>
        <stp>VOLUME</stp>
        <stp>BDX</stp>
        <tr r="J60" s="1"/>
      </tp>
      <tp>
        <v>1826915</v>
        <stp/>
        <stp>VOLUME</stp>
        <stp>BEN</stp>
        <tr r="J62" s="1"/>
      </tp>
      <tp t="s">
        <v>Downtrend</v>
        <stp/>
        <stp>STRENGTH_METER</stp>
        <stp>FTR</stp>
        <tr r="C195" s="1"/>
      </tp>
      <tp t="s">
        <v>Range Bound</v>
        <stp/>
        <stp>STRENGTH_METER</stp>
        <stp>FTI</stp>
        <tr r="C194" s="1"/>
      </tp>
      <tp>
        <v>0</v>
        <stp/>
        <stp>VOLUME</stp>
        <stp>BHI</stp>
        <tr r="J64" s="1"/>
      </tp>
      <tp>
        <v>2975074</v>
        <stp/>
        <stp>VOLUME</stp>
        <stp>BLL</stp>
        <tr r="J68" s="1"/>
      </tp>
      <tp>
        <v>504530</v>
        <stp/>
        <stp>VOLUME</stp>
        <stp>BLK</stp>
        <tr r="J67" s="1"/>
      </tp>
      <tp>
        <v>3932760</v>
        <stp/>
        <stp>VOLUME</stp>
        <stp>BMY</stp>
        <tr r="J71" s="1"/>
      </tp>
      <tp>
        <v>1087232</v>
        <stp/>
        <stp>VOLUME</stp>
        <stp>BMS</stp>
        <tr r="J70" s="1"/>
      </tp>
      <tp t="s">
        <v>N/A</v>
        <stp/>
        <stp>VOLUME</stp>
        <stp>BMC</stp>
        <tr r="J69" s="1"/>
      </tp>
      <tp t="s">
        <v>N/A</v>
        <stp/>
        <stp>STRENGTH_METER</stp>
        <stp>FRX</stp>
        <tr r="C192" s="1"/>
      </tp>
      <tp t="s">
        <v>Downtrend</v>
        <stp/>
        <stp>STRENGTH_METER</stp>
        <stp>FLS</stp>
        <tr r="C189" s="1"/>
      </tp>
      <tp t="s">
        <v>Range Bound</v>
        <stp/>
        <stp>STRENGTH_METER</stp>
        <stp>FLR</stp>
        <tr r="C188" s="1"/>
      </tp>
      <tp t="s">
        <v>Range Bound</v>
        <stp/>
        <stp>STRENGTH_METER</stp>
        <stp>FMC</stp>
        <tr r="C190" s="1"/>
      </tp>
      <tp>
        <v>5153205</v>
        <stp/>
        <stp>VOLUME</stp>
        <stp>BSX</stp>
        <tr r="J74" s="1"/>
      </tp>
      <tp>
        <v>1270287</v>
        <stp/>
        <stp>VOLUME</stp>
        <stp>BTU</stp>
        <tr r="J75" s="1"/>
      </tp>
      <tp t="s">
        <v>Range Bound</v>
        <stp/>
        <stp>STRENGTH_METER</stp>
        <stp>FHN</stp>
        <tr r="C183" s="1"/>
      </tp>
      <tp t="s">
        <v>Range Bound</v>
        <stp/>
        <stp>STRENGTH_METER</stp>
        <stp>FIS</stp>
        <tr r="C184" s="1"/>
      </tp>
      <tp>
        <v>1874290</v>
        <stp/>
        <stp>VOLUME</stp>
        <stp>BWA</stp>
        <tr r="J76" s="1"/>
      </tp>
      <tp t="s">
        <v>Range Bound</v>
        <stp/>
        <stp>STRENGTH_METER</stp>
        <stp>FDX</stp>
        <tr r="C180" s="1"/>
      </tp>
      <tp>
        <v>358215</v>
        <stp/>
        <stp>VOLUME</stp>
        <stp>BXP</stp>
        <tr r="J77" s="1"/>
      </tp>
      <tp t="s">
        <v>N/A</v>
        <stp/>
        <stp>STRENGTH_METER</stp>
        <stp>FDO</stp>
        <tr r="C179" s="1"/>
      </tp>
      <tp t="s">
        <v>Range Bound</v>
        <stp/>
        <stp>STRENGTH_METER</stp>
        <stp>FCX</stp>
        <tr r="C178" s="1"/>
      </tp>
      <tp t="s">
        <v>N/A</v>
        <stp/>
        <stp>NET_CHANGE</stp>
        <stp>BF-B</stp>
        <tr r="E63" s="1"/>
      </tp>
      <tp>
        <v>67.849999999999994</v>
        <stp/>
        <stp>LOW</stp>
        <stp>OXY</stp>
        <tr r="M349" s="1"/>
      </tp>
      <tp t="s">
        <v>instrument=RSG</v>
        <stp/>
        <stp>QUOTE_TREND</stp>
        <stp>RSG</stp>
        <tr r="D400" s="1"/>
      </tp>
      <tp>
        <v>220.41</v>
        <stp/>
        <stp>ASK</stp>
        <stp>BDX</stp>
        <tr r="G60" s="1"/>
      </tp>
      <tp>
        <v>44.97</v>
        <stp/>
        <stp>ASK</stp>
        <stp>BEN</stp>
        <tr r="G62" s="1"/>
      </tp>
      <tp t="s">
        <v>instrument=RRC</v>
        <stp/>
        <stp>QUOTE_TREND</stp>
        <stp>RRC</stp>
        <tr r="D399" s="1"/>
      </tp>
      <tp>
        <v>620</v>
        <stp/>
        <stp>BID</stp>
        <stp>AZO</stp>
        <tr r="F52" s="1"/>
      </tp>
      <tp>
        <v>26.6</v>
        <stp/>
        <stp>ASK</stp>
        <stp>BAC</stp>
        <tr r="G54" s="1"/>
      </tp>
      <tp>
        <v>65.55</v>
        <stp/>
        <stp>ASK</stp>
        <stp>BAX</stp>
        <tr r="G55" s="1"/>
      </tp>
      <tp>
        <v>46.87</v>
        <stp/>
        <stp>ASK</stp>
        <stp>BBT</stp>
        <tr r="G57" s="1"/>
      </tp>
      <tp>
        <v>55.8</v>
        <stp/>
        <stp>ASK</stp>
        <stp>BBY</stp>
        <tr r="G58" s="1"/>
      </tp>
      <tp>
        <v>92.48</v>
        <stp/>
        <stp>BID</stp>
        <stp>AXP</stp>
        <tr r="F51" s="1"/>
      </tp>
      <tp>
        <v>333.35</v>
        <stp/>
        <stp>ASK</stp>
        <stp>BCR</stp>
        <tr r="G59" s="1"/>
      </tp>
      <tp t="s">
        <v>instrument=RTN</v>
        <stp/>
        <stp>QUOTE_TREND</stp>
        <stp>RTN</stp>
        <tr r="D401" s="1"/>
      </tp>
      <tp>
        <v>474.23</v>
        <stp/>
        <stp>ASK</stp>
        <stp>BLK</stp>
        <tr r="G67" s="1"/>
      </tp>
      <tp>
        <v>40.01</v>
        <stp/>
        <stp>ASK</stp>
        <stp>BLL</stp>
        <tr r="G68" s="1"/>
      </tp>
      <tp>
        <v>183.43</v>
        <stp/>
        <stp>BID</stp>
        <stp>AVB</stp>
        <tr r="F48" s="1"/>
      </tp>
      <tp>
        <v>102.3</v>
        <stp/>
        <stp>BID</stp>
        <stp>AVY</stp>
        <tr r="F50" s="1"/>
      </tp>
      <tp>
        <v>1.91</v>
        <stp/>
        <stp>BID</stp>
        <stp>AVP</stp>
        <tr r="F49" s="1"/>
      </tp>
      <tp t="s">
        <v>N/A</v>
        <stp/>
        <stp>ASK</stp>
        <stp>BMC</stp>
        <tr r="G69" s="1"/>
      </tp>
      <tp>
        <v>46</v>
        <stp/>
        <stp>ASK</stp>
        <stp>BMS</stp>
        <tr r="G70" s="1"/>
      </tp>
      <tp>
        <v>61.38</v>
        <stp/>
        <stp>ASK</stp>
        <stp>BMY</stp>
        <tr r="G71" s="1"/>
      </tp>
      <tp>
        <v>21.75</v>
        <stp/>
        <stp>BID</stp>
        <stp>ATI</stp>
        <tr r="F47" s="1"/>
      </tp>
      <tp>
        <v>-0.02</v>
        <stp/>
        <stp>NET_CHANGE</stp>
        <stp>FITB</stp>
        <tr r="E186" s="1"/>
      </tp>
      <tp>
        <v>142.96</v>
        <stp/>
        <stp>BID</stp>
        <stp>ARG</stp>
        <tr r="F46" s="1"/>
      </tp>
      <tp>
        <v>58.94</v>
        <stp/>
        <stp>ASK</stp>
        <stp>BHI</stp>
        <tr r="G64" s="1"/>
      </tp>
      <tp>
        <v>-1.1499999999999999</v>
        <stp/>
        <stp>NET_CHANGE</stp>
        <stp>FISV</stp>
        <tr r="E185" s="1"/>
      </tp>
      <tp>
        <v>81.099999999999994</v>
        <stp/>
        <stp>BID</stp>
        <stp>APH</stp>
        <tr r="F44" s="1"/>
      </tp>
      <tp>
        <v>159.78</v>
        <stp/>
        <stp>BID</stp>
        <stp>APD</stp>
        <tr r="F43" s="1"/>
      </tp>
      <tp>
        <v>40.81</v>
        <stp/>
        <stp>BID</stp>
        <stp>APA</stp>
        <tr r="F41" s="1"/>
      </tp>
      <tp>
        <v>47.96</v>
        <stp/>
        <stp>BID</stp>
        <stp>APC</stp>
        <tr r="F42" s="1"/>
      </tp>
      <tp>
        <v>15.54</v>
        <stp/>
        <stp>BID</stp>
        <stp>ANF</stp>
        <tr r="F39" s="1"/>
      </tp>
      <tp>
        <v>33.43</v>
        <stp/>
        <stp>ASK</stp>
        <stp>BTU</stp>
        <tr r="G75" s="1"/>
      </tp>
      <tp>
        <v>0.19</v>
        <stp/>
        <stp>NET_CHANGE</stp>
        <stp>ZION</stp>
        <tr r="E502" s="1"/>
      </tp>
      <tp>
        <v>141.19</v>
        <stp/>
        <stp>BID</stp>
        <stp>AON</stp>
        <tr r="F40" s="1"/>
      </tp>
      <tp>
        <v>-0.13</v>
        <stp/>
        <stp>NET_CHANGE</stp>
        <stp>CINF</stp>
        <tr r="E97" s="1"/>
      </tp>
      <tp>
        <v>96.12</v>
        <stp/>
        <stp>BID</stp>
        <stp>ALL</stp>
        <tr r="F29" s="1"/>
      </tp>
      <tp t="s">
        <v>instrument=RAI</v>
        <stp/>
        <stp>QUOTE_TREND</stp>
        <stp>RAI</stp>
        <tr r="D389" s="1"/>
      </tp>
      <tp>
        <v>53.1</v>
        <stp/>
        <stp>ASK</stp>
        <stp>BWA</stp>
        <tr r="G76" s="1"/>
      </tp>
      <tp>
        <v>11.35</v>
        <stp/>
        <stp>BID</stp>
        <stp>AMD</stp>
        <tr r="F33" s="1"/>
      </tp>
      <tp>
        <v>145.5</v>
        <stp/>
        <stp>BID</stp>
        <stp>AMT</stp>
        <tr r="F36" s="1"/>
      </tp>
      <tp>
        <v>50.296900000000001</v>
        <stp/>
        <stp>LOW</stp>
        <stp>OKE</stp>
        <tr r="M345" s="1"/>
      </tp>
      <tp>
        <v>139.16999999999999</v>
        <stp/>
        <stp>BID</stp>
        <stp>AMP</stp>
        <tr r="F35" s="1"/>
      </tp>
      <tp>
        <v>0.03</v>
        <stp/>
        <stp>NET_CHANGE</stp>
        <stp>GILD</stp>
        <tr r="E200" s="1"/>
      </tp>
      <tp>
        <v>67.3</v>
        <stp/>
        <stp>LOW</stp>
        <stp>OMC</stp>
        <tr r="M346" s="1"/>
      </tp>
      <tp>
        <v>-0.01</v>
        <stp/>
        <stp>NET_CHANGE</stp>
        <stp>BIIB</stp>
        <tr r="E65" s="1"/>
      </tp>
      <tp>
        <v>59.98</v>
        <stp/>
        <stp>BID</stp>
        <stp>AIG</stp>
        <tr r="F25" s="1"/>
      </tp>
      <tp t="s">
        <v>instrument=RDC</v>
        <stp/>
        <stp>QUOTE_TREND</stp>
        <stp>RDC</stp>
        <tr r="D390" s="1"/>
      </tp>
      <tp>
        <v>93.65</v>
        <stp/>
        <stp>BID</stp>
        <stp>AIZ</stp>
        <tr r="F27" s="1"/>
      </tp>
      <tp>
        <v>28.28</v>
        <stp/>
        <stp>ASK</stp>
        <stp>BSX</stp>
        <tr r="G74" s="1"/>
      </tp>
      <tp>
        <v>44.35</v>
        <stp/>
        <stp>BID</stp>
        <stp>AIV</stp>
        <tr r="F26" s="1"/>
      </tp>
      <tp>
        <v>83.82</v>
        <stp/>
        <stp>BID</stp>
        <stp>AFL</stp>
        <tr r="F23" s="1"/>
      </tp>
      <tp>
        <v>174.83</v>
        <stp/>
        <stp>BID</stp>
        <stp>AGN</stp>
        <tr r="F24" s="1"/>
      </tp>
      <tp>
        <v>0</v>
        <stp/>
        <stp>NET_CHANGE</stp>
        <stp>LIFE</stp>
        <tr r="E273" s="1"/>
      </tp>
      <tp>
        <v>39.31</v>
        <stp/>
        <stp>BID</stp>
        <stp>ADM</stp>
        <tr r="F15" s="1"/>
      </tp>
      <tp>
        <v>91.2</v>
        <stp/>
        <stp>BID</stp>
        <stp>ADI</stp>
        <tr r="F14" s="1"/>
      </tp>
      <tp>
        <v>41.96</v>
        <stp/>
        <stp>BID</stp>
        <stp>ADT</stp>
        <tr r="F18" s="1"/>
      </tp>
      <tp>
        <v>108.8</v>
        <stp/>
        <stp>BID</stp>
        <stp>ADP</stp>
        <tr r="F16" s="1"/>
      </tp>
      <tp t="s">
        <v>instrument=RHT</v>
        <stp/>
        <stp>QUOTE_TREND</stp>
        <stp>RHT</stp>
        <tr r="D394" s="1"/>
      </tp>
      <tp>
        <v>31.95</v>
        <stp/>
        <stp>BID</stp>
        <stp>AEE</stp>
        <tr r="F19" s="1"/>
      </tp>
      <tp>
        <v>161</v>
        <stp/>
        <stp>BID</stp>
        <stp>AET</stp>
        <tr r="F22" s="1"/>
      </tp>
      <tp>
        <v>69.38</v>
        <stp/>
        <stp>BID</stp>
        <stp>AEP</stp>
        <tr r="F20" s="1"/>
      </tp>
      <tp>
        <v>10.5</v>
        <stp/>
        <stp>BID</stp>
        <stp>AES</stp>
        <tr r="F21" s="1"/>
      </tp>
      <tp t="s">
        <v>instrument=RHI</v>
        <stp/>
        <stp>QUOTE_TREND</stp>
        <stp>RHI</stp>
        <tr r="D393" s="1"/>
      </tp>
      <tp t="s">
        <v>instrument=ROP</v>
        <stp/>
        <stp>QUOTE_TREND</stp>
        <stp>ROP</stp>
        <tr r="D397" s="1"/>
      </tp>
      <tp>
        <v>74.88</v>
        <stp/>
        <stp>BID</stp>
        <stp>ABC</stp>
        <tr r="F8" s="1"/>
      </tp>
      <tp>
        <v>125.14</v>
        <stp/>
        <stp>ASK</stp>
        <stp>BXP</stp>
        <tr r="G77" s="1"/>
      </tp>
      <tp>
        <v>55.4</v>
        <stp/>
        <stp>BID</stp>
        <stp>ABT</stp>
        <tr r="F9" s="1"/>
      </tp>
      <tp t="s">
        <v>instrument=ROK</v>
        <stp/>
        <stp>QUOTE_TREND</stp>
        <stp>ROK</stp>
        <tr r="D396" s="1"/>
      </tp>
      <tp>
        <v>139</v>
        <stp/>
        <stp>BID</stp>
        <stp>ACN</stp>
        <tr r="F11" s="1"/>
      </tp>
      <tp>
        <v>111.35</v>
        <stp/>
        <stp>BID</stp>
        <stp>ACE</stp>
        <tr r="F10" s="1"/>
      </tp>
      <tp>
        <v>298</v>
        <stp/>
        <stp>BID</stp>
        <stp>ACT</stp>
        <tr r="F12" s="1"/>
      </tp>
      <tp>
        <v>0</v>
        <stp/>
        <stp>NET_CHANGE</stp>
        <stp>SIAL</stp>
        <tr r="E410" s="1"/>
      </tp>
      <tp>
        <v>2.46</v>
        <stp/>
        <stp>NET_CHANGE</stp>
        <stp>VIAB</stp>
        <tr r="E467" s="1"/>
      </tp>
      <tp>
        <v>91.3</v>
        <stp/>
        <stp>Mark</stp>
        <stp>MCHP</stp>
        <tr r="P295" s="1"/>
      </tp>
      <tp>
        <v>44.68</v>
        <stp/>
        <stp>Mark</stp>
        <stp>SCHW</stp>
        <tr r="P406" s="1"/>
      </tp>
      <tp>
        <v>192.85</v>
        <stp/>
        <stp>BID</stp>
        <stp>NFLX</stp>
        <tr r="F328" s="1"/>
      </tp>
      <tp>
        <v>67.239130000000003</v>
        <stp/>
        <stp>52LOW</stp>
        <stp>CTXS</stp>
        <tr r="O124" s="1"/>
      </tp>
      <tp>
        <v>46.814999999999998</v>
        <stp/>
        <stp>HIGH</stp>
        <stp>FLR</stp>
        <tr r="L188" s="1"/>
      </tp>
      <tp>
        <v>39.674999999999997</v>
        <stp/>
        <stp>HIGH</stp>
        <stp>FLS</stp>
        <tr r="L189" s="1"/>
      </tp>
      <tp>
        <v>93.82</v>
        <stp/>
        <stp>HIGH</stp>
        <stp>FMC</stp>
        <tr r="L190" s="1"/>
      </tp>
      <tp>
        <v>56.93</v>
        <stp/>
        <stp>Last</stp>
        <stp>SBUX</stp>
        <tr r="B404" s="1"/>
      </tp>
      <tp>
        <v>121.85</v>
        <stp/>
        <stp>BID</stp>
        <stp>FFIV</stp>
        <tr r="F182" s="1"/>
      </tp>
      <tp>
        <v>1747.22</v>
        <stp/>
        <stp>Mark</stp>
        <stp>PCLN</stp>
        <tr r="P356" s="1"/>
      </tp>
      <tp>
        <v>18.45</v>
        <stp/>
        <stp>HIGH</stp>
        <stp>FHN</stp>
        <tr r="L183" s="1"/>
      </tp>
      <tp>
        <v>66.72</v>
        <stp/>
        <stp>Mark</stp>
        <stp>QCOM</stp>
        <tr r="P386" s="1"/>
      </tp>
      <tp>
        <v>93.23</v>
        <stp/>
        <stp>HIGH</stp>
        <stp>FIS</stp>
        <tr r="L184" s="1"/>
      </tp>
      <tp>
        <v>66.69</v>
        <stp/>
        <stp>Mark</stp>
        <stp>PCAR</stp>
        <tr r="P353" s="1"/>
      </tp>
      <tp>
        <v>0</v>
        <stp/>
        <stp>HIGH</stp>
        <stp>FDO</stp>
        <tr r="L179" s="1"/>
      </tp>
      <tp>
        <v>218.28</v>
        <stp/>
        <stp>HIGH</stp>
        <stp>FDX</stp>
        <tr r="L180" s="1"/>
      </tp>
      <tp>
        <v>51.35</v>
        <stp/>
        <stp>52LOW</stp>
        <stp>CTSH</stp>
        <tr r="O123" s="1"/>
      </tp>
      <tp>
        <v>8.3699999999999992</v>
        <stp/>
        <stp>Mark</stp>
        <stp>HCBK</stp>
        <tr r="P216" s="1"/>
      </tp>
      <tp>
        <v>80.489999999999995</v>
        <stp/>
        <stp>52LOW</stp>
        <stp>NTRS</stp>
        <tr r="O337" s="1"/>
      </tp>
      <tp>
        <v>21.12</v>
        <stp/>
        <stp>52HIGH</stp>
        <stp>QEP</stp>
        <tr r="N387" s="1"/>
      </tp>
      <tp>
        <v>13.93</v>
        <stp/>
        <stp>HIGH</stp>
        <stp>FCX</stp>
        <tr r="L178" s="1"/>
      </tp>
      <tp>
        <v>93.61</v>
        <stp/>
        <stp>Last</stp>
        <stp>ABBV</stp>
        <tr r="B7" s="1"/>
      </tp>
      <tp>
        <v>21.02</v>
        <stp/>
        <stp>Last</stp>
        <stp>BBBY</stp>
        <tr r="B56" s="1"/>
      </tp>
      <tp>
        <v>18.170000000000002</v>
        <stp/>
        <stp>Last</stp>
        <stp>PBCT</stp>
        <tr r="B351" s="1"/>
      </tp>
      <tp>
        <v>35.58</v>
        <stp/>
        <stp>Last</stp>
        <stp>EBAY</stp>
        <tr r="B155" s="1"/>
      </tp>
      <tp>
        <v>13.54</v>
        <stp/>
        <stp>Last</stp>
        <stp>HBAN</stp>
        <tr r="B215" s="1"/>
      </tp>
      <tp t="s">
        <v>instrument=AKAM</v>
        <stp/>
        <stp>QUOTE_TREND</stp>
        <stp>AKAM</stp>
        <tr r="D28" s="1"/>
      </tp>
      <tp>
        <v>34.380000000000003</v>
        <stp/>
        <stp>52LOW</stp>
        <stp>NTAP</stp>
        <tr r="O336" s="1"/>
      </tp>
      <tp>
        <v>107.97</v>
        <stp/>
        <stp>52LOW</stp>
        <stp>CTAS</stp>
        <tr r="O121" s="1"/>
      </tp>
      <tp>
        <v>26.82</v>
        <stp/>
        <stp>HIGH</stp>
        <stp>FTI</stp>
        <tr r="L194" s="1"/>
      </tp>
      <tp>
        <v>7.01</v>
        <stp/>
        <stp>HIGH</stp>
        <stp>FTR</stp>
        <tr r="L195" s="1"/>
      </tp>
      <tp t="s">
        <v>N/A</v>
        <stp/>
        <stp>HIGH</stp>
        <stp>FRX</stp>
        <tr r="L192" s="1"/>
      </tp>
      <tp>
        <v>32.25</v>
        <stp/>
        <stp>52LOW</stp>
        <stp>ETFC</stp>
        <tr r="O169" s="1"/>
      </tp>
      <tp t="s">
        <v>N/A</v>
        <stp/>
        <stp>BID</stp>
        <stp>BF-B</stp>
        <tr r="F63" s="1"/>
      </tp>
      <tp>
        <v>10392963</v>
        <stp/>
        <stp>VOLUME</stp>
        <stp>MAT</stp>
        <tr r="J293" s="1"/>
      </tp>
      <tp>
        <v>1393833</v>
        <stp/>
        <stp>VOLUME</stp>
        <stp>MAS</stp>
        <tr r="J292" s="1"/>
      </tp>
      <tp>
        <v>3597277</v>
        <stp/>
        <stp>VOLUME</stp>
        <stp>MAR</stp>
        <tr r="J291" s="1"/>
      </tp>
      <tp>
        <v>2187175</v>
        <stp/>
        <stp>VOLUME</stp>
        <stp>MAC</stp>
        <tr r="J290" s="1"/>
      </tp>
      <tp>
        <v>941903</v>
        <stp/>
        <stp>VOLUME</stp>
        <stp>MCO</stp>
        <tr r="J297" s="1"/>
      </tp>
      <tp>
        <v>1830629</v>
        <stp/>
        <stp>VOLUME</stp>
        <stp>MCK</stp>
        <tr r="J296" s="1"/>
      </tp>
      <tp>
        <v>2215966</v>
        <stp/>
        <stp>VOLUME</stp>
        <stp>MCD</stp>
        <tr r="J294" s="1"/>
      </tp>
      <tp>
        <v>7094196</v>
        <stp/>
        <stp>VOLUME</stp>
        <stp>MDT</stp>
        <tr r="J299" s="1"/>
      </tp>
      <tp>
        <v>2656794</v>
        <stp/>
        <stp>VOLUME</stp>
        <stp>MET</stp>
        <tr r="J300" s="1"/>
      </tp>
      <tp t="s">
        <v>Range Bound</v>
        <stp/>
        <stp>STRENGTH_METER</stp>
        <stp>ITW</stp>
        <tr r="C246" s="1"/>
      </tp>
      <tp t="s">
        <v>N/A</v>
        <stp/>
        <stp>VOLUME</stp>
        <stp>MHP</stp>
        <tr r="J301" s="1"/>
      </tp>
      <tp t="s">
        <v>Range Bound</v>
        <stp/>
        <stp>STRENGTH_METER</stp>
        <stp>IVZ</stp>
        <tr r="C247" s="1"/>
      </tp>
      <tp>
        <v>0</v>
        <stp/>
        <stp>VOLUME</stp>
        <stp>MJN</stp>
        <tr r="J302" s="1"/>
      </tp>
      <tp>
        <v>2317182</v>
        <stp/>
        <stp>VOLUME</stp>
        <stp>MKC</stp>
        <tr r="J303" s="1"/>
      </tp>
      <tp t="s">
        <v>Range Bound</v>
        <stp/>
        <stp>STRENGTH_METER</stp>
        <stp>IPG</stp>
        <tr r="C242" s="1"/>
      </tp>
      <tp>
        <v>1732091</v>
        <stp/>
        <stp>VOLUME</stp>
        <stp>MMM</stp>
        <tr r="J305" s="1"/>
      </tp>
      <tp>
        <v>1505242</v>
        <stp/>
        <stp>VOLUME</stp>
        <stp>MMC</stp>
        <tr r="J304" s="1"/>
      </tp>
      <tp t="s">
        <v>Range Bound</v>
        <stp/>
        <stp>STRENGTH_METER</stp>
        <stp>IRM</stp>
        <tr r="C244" s="1"/>
      </tp>
      <tp>
        <v>3774912</v>
        <stp/>
        <stp>VOLUME</stp>
        <stp>MOS</stp>
        <tr r="J310" s="1"/>
      </tp>
      <tp>
        <v>936518</v>
        <stp/>
        <stp>VOLUME</stp>
        <stp>MON</stp>
        <tr r="J309" s="1"/>
      </tp>
      <tp>
        <v>2980762</v>
        <stp/>
        <stp>VOLUME</stp>
        <stp>MPC</stp>
        <tr r="J311" s="1"/>
      </tp>
      <tp>
        <v>10468747</v>
        <stp/>
        <stp>VOLUME</stp>
        <stp>MRO</stp>
        <tr r="J313" s="1"/>
      </tp>
      <tp>
        <v>9869660</v>
        <stp/>
        <stp>VOLUME</stp>
        <stp>MRK</stp>
        <tr r="J312" s="1"/>
      </tp>
      <tp>
        <v>1161944</v>
        <stp/>
        <stp>VOLUME</stp>
        <stp>MSI</stp>
        <tr r="J316" s="1"/>
      </tp>
      <tp>
        <v>371381</v>
        <stp/>
        <stp>VOLUME</stp>
        <stp>MTB</stp>
        <tr r="J317" s="1"/>
      </tp>
      <tp>
        <v>1911414</v>
        <stp/>
        <stp>VOLUME</stp>
        <stp>MUR</stp>
        <tr r="J319" s="1"/>
      </tp>
      <tp>
        <v>0</v>
        <stp/>
        <stp>VOLUME</stp>
        <stp>MWV</stp>
        <tr r="J320" s="1"/>
      </tp>
      <tp>
        <v>3219407</v>
        <stp/>
        <stp>VOLUME</stp>
        <stp>MYL</stp>
        <tr r="J321" s="1"/>
      </tp>
      <tp t="s">
        <v>Range Bound</v>
        <stp/>
        <stp>STRENGTH_METER</stp>
        <stp>IFF</stp>
        <tr r="C237" s="1"/>
      </tp>
      <tp t="s">
        <v>Uptrend</v>
        <stp/>
        <stp>STRENGTH_METER</stp>
        <stp>IGT</stp>
        <tr r="C238" s="1"/>
      </tp>
      <tp t="s">
        <v>Range Bound</v>
        <stp/>
        <stp>STRENGTH_METER</stp>
        <stp>IBM</stp>
        <tr r="C235" s="1"/>
      </tp>
      <tp t="s">
        <v>Range Bound</v>
        <stp/>
        <stp>STRENGTH_METER</stp>
        <stp>ICE</stp>
        <tr r="C236" s="1"/>
      </tp>
      <tp t="s">
        <v>N/A</v>
        <stp/>
        <stp>LOW</stp>
        <stp>NYX</stp>
        <tr r="M343" s="1"/>
      </tp>
      <tp t="s">
        <v>instrument=SRE</v>
        <stp/>
        <stp>QUOTE_TREND</stp>
        <stp>SRE</stp>
        <tr r="D421" s="1"/>
      </tp>
      <tp t="s">
        <v>N/A</v>
        <stp/>
        <stp>ASK</stp>
        <stp>CFN</stp>
        <tr r="G93" s="1"/>
      </tp>
      <tp t="s">
        <v>instrument=SPG</v>
        <stp/>
        <stp>QUOTE_TREND</stp>
        <stp>SPG</stp>
        <tr r="D418" s="1"/>
      </tp>
      <tp t="s">
        <v>instrument=SWY</v>
        <stp/>
        <stp>QUOTE_TREND</stp>
        <stp>SWY</stp>
        <tr r="D429" s="1"/>
      </tp>
      <tp t="s">
        <v>instrument=SWN</v>
        <stp/>
        <stp>QUOTE_TREND</stp>
        <stp>SWN</stp>
        <tr r="D428" s="1"/>
      </tp>
      <tp t="s">
        <v>instrument=SWK</v>
        <stp/>
        <stp>QUOTE_TREND</stp>
        <stp>SWK</stp>
        <tr r="D427" s="1"/>
      </tp>
      <tp>
        <v>35.74</v>
        <stp/>
        <stp>ASK</stp>
        <stp>CAG</stp>
        <tr r="G80" s="1"/>
      </tp>
      <tp>
        <v>58.9</v>
        <stp/>
        <stp>ASK</stp>
        <stp>CAH</stp>
        <tr r="G81" s="1"/>
      </tp>
      <tp>
        <v>66.19</v>
        <stp/>
        <stp>ASK</stp>
        <stp>CAM</stp>
        <tr r="G82" s="1"/>
      </tp>
      <tp>
        <v>136.26</v>
        <stp/>
        <stp>ASK</stp>
        <stp>CAT</stp>
        <tr r="G83" s="1"/>
      </tp>
      <tp>
        <v>42.82</v>
        <stp/>
        <stp>ASK</stp>
        <stp>CBG</stp>
        <tr r="G85" s="1"/>
      </tp>
      <tp>
        <v>57.73</v>
        <stp/>
        <stp>ASK</stp>
        <stp>CBS</stp>
        <tr r="G86" s="1"/>
      </tp>
      <tp t="s">
        <v>instrument=STT</v>
        <stp/>
        <stp>QUOTE_TREND</stp>
        <stp>STT</stp>
        <tr r="D424" s="1"/>
      </tp>
      <tp>
        <v>41.14</v>
        <stp/>
        <stp>ASK</stp>
        <stp>CCE</stp>
        <tr r="G87" s="1"/>
      </tp>
      <tp>
        <v>112.28</v>
        <stp/>
        <stp>ASK</stp>
        <stp>CCI</stp>
        <tr r="G88" s="1"/>
      </tp>
      <tp t="s">
        <v>instrument=STZ</v>
        <stp/>
        <stp>QUOTE_TREND</stp>
        <stp>STZ</stp>
        <tr r="D426" s="1"/>
      </tp>
      <tp>
        <v>67.040000000000006</v>
        <stp/>
        <stp>ASK</stp>
        <stp>CCL</stp>
        <tr r="G89" s="1"/>
      </tp>
      <tp t="s">
        <v>instrument=STX</v>
        <stp/>
        <stp>QUOTE_TREND</stp>
        <stp>STX</stp>
        <tr r="D425" s="1"/>
      </tp>
      <tp t="s">
        <v>instrument=STJ</v>
        <stp/>
        <stp>QUOTE_TREND</stp>
        <stp>STJ</stp>
        <tr r="D423" s="1"/>
      </tp>
      <tp t="s">
        <v>instrument=STI</v>
        <stp/>
        <stp>QUOTE_TREND</stp>
        <stp>STI</stp>
        <tr r="D422" s="1"/>
      </tp>
      <tp>
        <v>6.13</v>
        <stp/>
        <stp>ASK</stp>
        <stp>CLF</stp>
        <tr r="G99" s="1"/>
      </tp>
      <tp>
        <v>135.1</v>
        <stp/>
        <stp>ASK</stp>
        <stp>CLX</stp>
        <tr r="G100" s="1"/>
      </tp>
      <tp>
        <v>79.150000000000006</v>
        <stp/>
        <stp>ASK</stp>
        <stp>CMA</stp>
        <tr r="G101" s="1"/>
      </tp>
      <tp>
        <v>290.83999999999997</v>
        <stp/>
        <stp>ASK</stp>
        <stp>CMG</stp>
        <tr r="G104" s="1"/>
      </tp>
      <tp>
        <v>140.26</v>
        <stp/>
        <stp>ASK</stp>
        <stp>CME</stp>
        <tr r="G103" s="1"/>
      </tp>
      <tp>
        <v>159.68</v>
        <stp/>
        <stp>ASK</stp>
        <stp>CMI</stp>
        <tr r="G105" s="1"/>
      </tp>
      <tp>
        <v>49.62</v>
        <stp/>
        <stp>ASK</stp>
        <stp>CMS</stp>
        <tr r="G106" s="1"/>
      </tp>
      <tp t="s">
        <v>instrument=SYY</v>
        <stp/>
        <stp>QUOTE_TREND</stp>
        <stp>SYY</stp>
        <tr r="D432" s="1"/>
      </tp>
      <tp>
        <v>29.48</v>
        <stp/>
        <stp>ASK</stp>
        <stp>CNP</stp>
        <tr r="G107" s="1"/>
      </tp>
      <tp>
        <v>29.18</v>
        <stp/>
        <stp>LOW</stp>
        <stp>NRG</stp>
        <tr r="M334" s="1"/>
      </tp>
      <tp>
        <v>17</v>
        <stp/>
        <stp>ASK</stp>
        <stp>CNX</stp>
        <tr r="G108" s="1"/>
      </tp>
      <tp t="s">
        <v>instrument=SYK</v>
        <stp/>
        <stp>QUOTE_TREND</stp>
        <stp>SYK</stp>
        <tr r="D430" s="1"/>
      </tp>
      <tp>
        <v>88.83</v>
        <stp/>
        <stp>ASK</stp>
        <stp>COF</stp>
        <tr r="G109" s="1"/>
      </tp>
      <tp>
        <v>29.42</v>
        <stp/>
        <stp>ASK</stp>
        <stp>COG</stp>
        <tr r="G110" s="1"/>
      </tp>
      <tp>
        <v>40.1</v>
        <stp/>
        <stp>ASK</stp>
        <stp>COH</stp>
        <tr r="G111" s="1"/>
      </tp>
      <tp>
        <v>132.36000000000001</v>
        <stp/>
        <stp>ASK</stp>
        <stp>COL</stp>
        <tr r="G112" s="1"/>
      </tp>
      <tp>
        <v>50.2</v>
        <stp/>
        <stp>ASK</stp>
        <stp>COP</stp>
        <tr r="G113" s="1"/>
      </tp>
      <tp t="s">
        <v>N/A</v>
        <stp/>
        <stp>ASK</stp>
        <stp>COV</stp>
        <tr r="G115" s="1"/>
      </tp>
      <tp>
        <v>127.4</v>
        <stp/>
        <stp>LOW</stp>
        <stp>NSC</stp>
        <tr r="M335" s="1"/>
      </tp>
      <tp>
        <v>4.01</v>
        <stp/>
        <stp>ASK</stp>
        <stp>CHK</stp>
        <tr r="G94" s="1"/>
      </tp>
      <tp>
        <v>54.32</v>
        <stp/>
        <stp>LOW</stp>
        <stp>NUE</stp>
        <tr r="M339" s="1"/>
      </tp>
      <tp>
        <v>-1.96</v>
        <stp/>
        <stp>NET_CHANGE</stp>
        <stp>CHRW</stp>
        <tr r="E95" s="1"/>
      </tp>
      <tp>
        <v>27.99</v>
        <stp/>
        <stp>LOW</stp>
        <stp>NWL</stp>
        <tr r="M341" s="1"/>
      </tp>
      <tp>
        <v>14.8</v>
        <stp/>
        <stp>ASK</stp>
        <stp>CTL</stp>
        <tr r="G122" s="1"/>
      </tp>
      <tp t="s">
        <v>instrument=SCG</v>
        <stp/>
        <stp>QUOTE_TREND</stp>
        <stp>SCG</stp>
        <tr r="D405" s="1"/>
      </tp>
      <tp>
        <v>0</v>
        <stp/>
        <stp>NET_CHANGE</stp>
        <stp>YHOO</stp>
        <tr r="E500" s="1"/>
      </tp>
      <tp>
        <v>34.89</v>
        <stp/>
        <stp>ASK</stp>
        <stp>CVC</stp>
        <tr r="G125" s="1"/>
      </tp>
      <tp>
        <v>70.7</v>
        <stp/>
        <stp>ASK</stp>
        <stp>CVS</stp>
        <tr r="G126" s="1"/>
      </tp>
      <tp>
        <v>114.83</v>
        <stp/>
        <stp>ASK</stp>
        <stp>CVX</stp>
        <tr r="G127" s="1"/>
      </tp>
      <tp t="s">
        <v>instrument=SAI</v>
        <stp/>
        <stp>QUOTE_TREND</stp>
        <stp>SAI</stp>
        <tr r="D403" s="1"/>
      </tp>
      <tp>
        <v>58.37</v>
        <stp/>
        <stp>LOW</stp>
        <stp>NKE</stp>
        <tr r="M331" s="1"/>
      </tp>
      <tp>
        <v>49.71</v>
        <stp/>
        <stp>ASK</stp>
        <stp>CPB</stp>
        <tr r="G116" s="1"/>
      </tp>
      <tp>
        <v>17.73</v>
        <stp/>
        <stp>HIGH</stp>
        <stp>DISCA</stp>
        <tr r="L139" s="1"/>
      </tp>
      <tp>
        <v>108.2</v>
        <stp/>
        <stp>ASK</stp>
        <stp>CRM</stp>
        <tr r="G117" s="1"/>
      </tp>
      <tp t="s">
        <v>instrument=SEE</v>
        <stp/>
        <stp>QUOTE_TREND</stp>
        <stp>SEE</stp>
        <tr r="D408" s="1"/>
      </tp>
      <tp>
        <v>170.39</v>
        <stp/>
        <stp>ASK</stp>
        <stp>CSC</stp>
        <tr r="G118" s="1"/>
      </tp>
      <tp>
        <v>31.5108</v>
        <stp/>
        <stp>LOW</stp>
        <stp>NOV</stp>
        <tr r="M333" s="1"/>
      </tp>
      <tp>
        <v>49.98</v>
        <stp/>
        <stp>ASK</stp>
        <stp>CSX</stp>
        <tr r="G120" s="1"/>
      </tp>
      <tp>
        <v>296.67</v>
        <stp/>
        <stp>LOW</stp>
        <stp>NOC</stp>
        <tr r="M332" s="1"/>
      </tp>
      <tp t="s">
        <v>instrument=SJM</v>
        <stp/>
        <stp>QUOTE_TREND</stp>
        <stp>SJM</stp>
        <tr r="D411" s="1"/>
      </tp>
      <tp>
        <v>5.68</v>
        <stp/>
        <stp>LOW</stp>
        <stp>NBR</stp>
        <tr r="M323" s="1"/>
      </tp>
      <tp>
        <v>25.74</v>
        <stp/>
        <stp>LOW</stp>
        <stp>NBL</stp>
        <tr r="M322" s="1"/>
      </tp>
      <tp t="s">
        <v>instrument=SHW</v>
        <stp/>
        <stp>QUOTE_TREND</stp>
        <stp>SHW</stp>
        <tr r="D409" s="1"/>
      </tp>
      <tp>
        <v>35.93</v>
        <stp/>
        <stp>LOW</stp>
        <stp>NEM</stp>
        <tr r="M327" s="1"/>
      </tp>
      <tp t="s">
        <v>instrument=SNA</v>
        <stp/>
        <stp>QUOTE_TREND</stp>
        <stp>SNA</stp>
        <tr r="D414" s="1"/>
      </tp>
      <tp>
        <v>155.89169999999999</v>
        <stp/>
        <stp>LOW</stp>
        <stp>NEE</stp>
        <tr r="M326" s="1"/>
      </tp>
      <tp t="s">
        <v>instrument=SNI</v>
        <stp/>
        <stp>QUOTE_TREND</stp>
        <stp>SNI</stp>
        <tr r="D416" s="1"/>
      </tp>
      <tp>
        <v>29.72</v>
        <stp/>
        <stp>LOW</stp>
        <stp>NFX</stp>
        <tr r="M329" s="1"/>
      </tp>
      <tp t="s">
        <v>instrument=SLB</v>
        <stp/>
        <stp>QUOTE_TREND</stp>
        <stp>SLB</stp>
        <tr r="D412" s="1"/>
      </tp>
      <tp t="s">
        <v>instrument=SLM</v>
        <stp/>
        <stp>QUOTE_TREND</stp>
        <stp>SLM</stp>
        <tr r="D413" s="1"/>
      </tp>
      <tp>
        <v>3.38</v>
        <stp/>
        <stp>HIGH</stp>
        <stp>GNW</stp>
        <tr r="L204" s="1"/>
      </tp>
      <tp>
        <v>32.270000000000003</v>
        <stp/>
        <stp>52HIGH</stp>
        <stp>PHM</stp>
        <tr r="N367" s="1"/>
      </tp>
      <tp>
        <v>31.8</v>
        <stp/>
        <stp>HIGH</stp>
        <stp>GLW</stp>
        <tr r="L202" s="1"/>
      </tp>
      <tp>
        <v>73.05</v>
        <stp/>
        <stp>52HIGH</stp>
        <stp>PKI</stp>
        <tr r="N368" s="1"/>
      </tp>
      <tp>
        <v>16.579999999999998</v>
        <stp/>
        <stp>HIGH</stp>
        <stp>GME</stp>
        <tr r="L203" s="1"/>
      </tp>
      <tp>
        <v>0</v>
        <stp/>
        <stp>52HIGH</stp>
        <stp>PLL</stp>
        <tr r="N370" s="1"/>
      </tp>
      <tp>
        <v>67.25</v>
        <stp/>
        <stp>52HIGH</stp>
        <stp>PLD</stp>
        <tr r="N369" s="1"/>
      </tp>
      <tp>
        <v>27.34</v>
        <stp/>
        <stp>52HIGH</stp>
        <stp>POM</stp>
        <tr r="N375" s="1"/>
      </tp>
      <tp>
        <v>53.93</v>
        <stp/>
        <stp>HIGH</stp>
        <stp>GIS</stp>
        <tr r="L201" s="1"/>
      </tp>
      <tp>
        <v>139.22999999999999</v>
        <stp/>
        <stp>52HIGH</stp>
        <stp>PNC</stp>
        <tr r="N372" s="1"/>
      </tp>
      <tp>
        <v>92.48</v>
        <stp/>
        <stp>52HIGH</stp>
        <stp>PNW</stp>
        <tr r="N374" s="1"/>
      </tp>
      <tp>
        <v>71.650000000000006</v>
        <stp/>
        <stp>52HIGH</stp>
        <stp>PNR</stp>
        <tr r="N373" s="1"/>
      </tp>
      <tp>
        <v>64.650000000000006</v>
        <stp/>
        <stp>LOW</stp>
        <stp>PAYX</stp>
        <tr r="M350" s="1"/>
      </tp>
      <tp>
        <v>35.58</v>
        <stp/>
        <stp>Mark</stp>
        <stp>EBAY</stp>
        <tr r="P155" s="1"/>
      </tp>
      <tp>
        <v>13.54</v>
        <stp/>
        <stp>Mark</stp>
        <stp>HBAN</stp>
        <tr r="P215" s="1"/>
      </tp>
      <tp>
        <v>18.170000000000002</v>
        <stp/>
        <stp>Mark</stp>
        <stp>PBCT</stp>
        <tr r="P351" s="1"/>
      </tp>
      <tp>
        <v>0</v>
        <stp/>
        <stp>52HIGH</stp>
        <stp>PCL</stp>
        <tr r="N355" s="1"/>
      </tp>
      <tp>
        <v>71.569999999999993</v>
        <stp/>
        <stp>52HIGH</stp>
        <stp>PCG</stp>
        <tr r="N354" s="1"/>
      </tp>
      <tp>
        <v>0</v>
        <stp/>
        <stp>52HIGH</stp>
        <stp>PCP</stp>
        <tr r="N357" s="1"/>
      </tp>
      <tp>
        <v>93.61</v>
        <stp/>
        <stp>Mark</stp>
        <stp>ABBV</stp>
        <tr r="P7" s="1"/>
      </tp>
      <tp>
        <v>21.02</v>
        <stp/>
        <stp>Mark</stp>
        <stp>BBBY</stp>
        <tr r="P56" s="1"/>
      </tp>
      <tp>
        <v>16.600000000000001</v>
        <stp/>
        <stp>52HIGH</stp>
        <stp>PBI</stp>
        <tr r="N352" s="1"/>
      </tp>
      <tp>
        <v>52.12</v>
        <stp/>
        <stp>52HIGH</stp>
        <stp>PEG</stp>
        <tr r="N359" s="1"/>
      </tp>
      <tp>
        <v>119.39</v>
        <stp/>
        <stp>52HIGH</stp>
        <stp>PEP</stp>
        <tr r="N360" s="1"/>
      </tp>
      <tp>
        <v>11.66</v>
        <stp/>
        <stp>HIGH</stp>
        <stp>GCI</stp>
        <tr r="L197" s="1"/>
      </tp>
      <tp>
        <v>47.86</v>
        <stp/>
        <stp>LOW</stp>
        <stp>FAST</stp>
        <tr r="M177" s="1"/>
      </tp>
      <tp>
        <v>52.08</v>
        <stp/>
        <stp>52HIGH</stp>
        <stp>PGR</stp>
        <tr r="N365" s="1"/>
      </tp>
      <tp>
        <v>169.64</v>
        <stp/>
        <stp>LOW</stp>
        <stp>AAPL</stp>
        <tr r="M6" s="1"/>
      </tp>
      <tp>
        <v>0</v>
        <stp/>
        <stp>HIGH</stp>
        <stp>GAS</stp>
        <tr r="L196" s="1"/>
      </tp>
      <tp>
        <v>36.78</v>
        <stp/>
        <stp>52HIGH</stp>
        <stp>PFE</stp>
        <tr r="N362" s="1"/>
      </tp>
      <tp>
        <v>69.952399999999997</v>
        <stp/>
        <stp>52HIGH</stp>
        <stp>PFG</stp>
        <tr r="N363" s="1"/>
      </tp>
      <tp>
        <v>199.83</v>
        <stp/>
        <stp>52HIGH</stp>
        <stp>PXD</stp>
        <tr r="N385" s="1"/>
      </tp>
      <tp>
        <v>0</v>
        <stp/>
        <stp>Last</stp>
        <stp>HCBK</stp>
        <tr r="B216" s="1"/>
      </tp>
      <tp>
        <v>66.69</v>
        <stp/>
        <stp>Last</stp>
        <stp>PCAR</stp>
        <tr r="B353" s="1"/>
      </tp>
      <tp>
        <v>200.72</v>
        <stp/>
        <stp>HIGH</stp>
        <stp>GWW</stp>
        <tr r="L211" s="1"/>
      </tp>
      <tp>
        <v>66.72</v>
        <stp/>
        <stp>Last</stp>
        <stp>QCOM</stp>
        <tr r="B386" s="1"/>
      </tp>
      <tp>
        <v>40.200000000000003</v>
        <stp/>
        <stp>52HIGH</stp>
        <stp>PPL</stp>
        <tr r="N377" s="1"/>
      </tp>
      <tp>
        <v>119.85</v>
        <stp/>
        <stp>52HIGH</stp>
        <stp>PPG</stp>
        <tr r="N376" s="1"/>
      </tp>
      <tp>
        <v>1747.22</v>
        <stp/>
        <stp>Last</stp>
        <stp>PCLN</stp>
        <tr r="B356" s="1"/>
      </tp>
      <tp>
        <v>232.21</v>
        <stp/>
        <stp>52HIGH</stp>
        <stp>PSA</stp>
        <tr r="N380" s="1"/>
      </tp>
      <tp>
        <v>95</v>
        <stp/>
        <stp>52HIGH</stp>
        <stp>PSX</stp>
        <tr r="N381" s="1"/>
      </tp>
      <tp>
        <v>115.26</v>
        <stp/>
        <stp>52HIGH</stp>
        <stp>PRU</stp>
        <tr r="N379" s="1"/>
      </tp>
      <tp>
        <v>56.93</v>
        <stp/>
        <stp>Mark</stp>
        <stp>SBUX</stp>
        <tr r="P404" s="1"/>
      </tp>
      <tp>
        <v>91.3</v>
        <stp/>
        <stp>Last</stp>
        <stp>MCHP</stp>
        <tr r="B295" s="1"/>
      </tp>
      <tp>
        <v>44.68</v>
        <stp/>
        <stp>Last</stp>
        <stp>SCHW</stp>
        <tr r="B406" s="1"/>
      </tp>
      <tp>
        <v>86.8</v>
        <stp/>
        <stp>HIGH</stp>
        <stp>GPC</stp>
        <tr r="L206" s="1"/>
      </tp>
      <tp>
        <v>30.14</v>
        <stp/>
        <stp>HIGH</stp>
        <stp>GPS</stp>
        <tr r="L207" s="1"/>
      </tp>
      <tp>
        <v>38.82</v>
        <stp/>
        <stp>52HIGH</stp>
        <stp>PWR</stp>
        <tr r="N383" s="1"/>
      </tp>
      <tp>
        <v>133.24</v>
        <stp/>
        <stp>52HIGH</stp>
        <stp>PVH</stp>
        <tr r="N382" s="1"/>
      </tp>
      <tp>
        <v>3717643</v>
        <stp/>
        <stp>VOLUME</stp>
        <stp>LEN</stp>
        <tr r="J271" s="1"/>
      </tp>
      <tp>
        <v>687689</v>
        <stp/>
        <stp>VOLUME</stp>
        <stp>LEG</stp>
        <tr r="J270" s="1"/>
      </tp>
      <tp t="s">
        <v>Range Bound</v>
        <stp/>
        <stp>STRENGTH_METER</stp>
        <stp>HUM</stp>
        <tr r="C234" s="1"/>
      </tp>
      <tp>
        <v>4093592</v>
        <stp/>
        <stp>VOLUME</stp>
        <stp>LLY</stp>
        <tr r="J276" s="1"/>
      </tp>
      <tp t="s">
        <v>Range Bound</v>
        <stp/>
        <stp>STRENGTH_METER</stp>
        <stp>HPQ</stp>
        <tr r="C227" s="1"/>
      </tp>
      <tp>
        <v>344934</v>
        <stp/>
        <stp>VOLUME</stp>
        <stp>LLL</stp>
        <tr r="J274" s="1"/>
      </tp>
      <tp>
        <v>689475</v>
        <stp/>
        <stp>VOLUME</stp>
        <stp>LMT</stp>
        <tr r="J278" s="1"/>
      </tp>
      <tp t="s">
        <v>Range Bound</v>
        <stp/>
        <stp>STRENGTH_METER</stp>
        <stp>HRS</stp>
        <tr r="C230" s="1"/>
      </tp>
      <tp t="s">
        <v>Range Bound</v>
        <stp/>
        <stp>STRENGTH_METER</stp>
        <stp>HRL</stp>
        <tr r="C229" s="1"/>
      </tp>
      <tp t="s">
        <v>Range Bound</v>
        <stp/>
        <stp>STRENGTH_METER</stp>
        <stp>HRB</stp>
        <tr r="C228" s="1"/>
      </tp>
      <tp>
        <v>1039029</v>
        <stp/>
        <stp>VOLUME</stp>
        <stp>LNC</stp>
        <tr r="J279" s="1"/>
      </tp>
      <tp t="s">
        <v>Range Bound</v>
        <stp/>
        <stp>STRENGTH_METER</stp>
        <stp>HSY</stp>
        <tr r="C233" s="1"/>
      </tp>
      <tp>
        <v>6332190</v>
        <stp/>
        <stp>VOLUME</stp>
        <stp>LOW</stp>
        <tr r="J281" s="1"/>
      </tp>
      <tp t="s">
        <v>N/A</v>
        <stp/>
        <stp>STRENGTH_METER</stp>
        <stp>HSP</stp>
        <tr r="C231" s="1"/>
      </tp>
      <tp t="s">
        <v>Range Bound</v>
        <stp/>
        <stp>STRENGTH_METER</stp>
        <stp>HST</stp>
        <tr r="C232" s="1"/>
      </tp>
      <tp t="s">
        <v>N/A</v>
        <stp/>
        <stp>STRENGTH_METER</stp>
        <stp>HNZ</stp>
        <tr r="C222" s="1"/>
      </tp>
      <tp t="s">
        <v>Range Bound</v>
        <stp/>
        <stp>STRENGTH_METER</stp>
        <stp>HOT</stp>
        <tr r="C225" s="1"/>
      </tp>
      <tp>
        <v>665930</v>
        <stp/>
        <stp>VOLUME</stp>
        <stp>LSI</stp>
        <tr r="J283" s="1"/>
      </tp>
      <tp t="s">
        <v>Range Bound</v>
        <stp/>
        <stp>STRENGTH_METER</stp>
        <stp>HON</stp>
        <tr r="C224" s="1"/>
      </tp>
      <tp t="s">
        <v>Range Bound</v>
        <stp/>
        <stp>STRENGTH_METER</stp>
        <stp>HOG</stp>
        <tr r="C223" s="1"/>
      </tp>
      <tp t="s">
        <v>N/A</v>
        <stp/>
        <stp>VOLUME</stp>
        <stp>LTD</stp>
        <tr r="J284" s="1"/>
      </tp>
      <tp>
        <v>3102518</v>
        <stp/>
        <stp>VOLUME</stp>
        <stp>LUV</stp>
        <tr r="J286" s="1"/>
      </tp>
      <tp>
        <v>1390188</v>
        <stp/>
        <stp>VOLUME</stp>
        <stp>LUK</stp>
        <tr r="J285" s="1"/>
      </tp>
      <tp t="s">
        <v>Range Bound</v>
        <stp/>
        <stp>STRENGTH_METER</stp>
        <stp>HIG</stp>
        <tr r="C221" s="1"/>
      </tp>
      <tp t="s">
        <v>Range Bound</v>
        <stp/>
        <stp>STRENGTH_METER</stp>
        <stp>HES</stp>
        <tr r="C220" s="1"/>
      </tp>
      <tp>
        <v>1401905</v>
        <stp/>
        <stp>VOLUME</stp>
        <stp>LYB</stp>
        <tr r="J287" s="1"/>
      </tp>
      <tp t="s">
        <v>Range Bound</v>
        <stp/>
        <stp>STRENGTH_METER</stp>
        <stp>HAS</stp>
        <tr r="C214" s="1"/>
      </tp>
      <tp t="s">
        <v>N/A</v>
        <stp/>
        <stp>STRENGTH_METER</stp>
        <stp>HAR</stp>
        <tr r="C213" s="1"/>
      </tp>
      <tp t="s">
        <v>Range Bound</v>
        <stp/>
        <stp>STRENGTH_METER</stp>
        <stp>HAL</stp>
        <tr r="C212" s="1"/>
      </tp>
      <tp t="s">
        <v>Range Bound</v>
        <stp/>
        <stp>STRENGTH_METER</stp>
        <stp>HCP</stp>
        <tr r="C218" s="1"/>
      </tp>
      <tp t="s">
        <v>Range Bound</v>
        <stp/>
        <stp>STRENGTH_METER</stp>
        <stp>HCN</stp>
        <tr r="C217" s="1"/>
      </tp>
      <tp t="s">
        <v>instrument=PSX</v>
        <stp/>
        <stp>QUOTE_TREND</stp>
        <stp>PSX</stp>
        <tr r="D381" s="1"/>
      </tp>
      <tp t="s">
        <v>instrument=PSA</v>
        <stp/>
        <stp>QUOTE_TREND</stp>
        <stp>PSA</stp>
        <tr r="D380" s="1"/>
      </tp>
      <tp t="s">
        <v>instrument=PRU</v>
        <stp/>
        <stp>QUOTE_TREND</stp>
        <stp>PRU</stp>
        <tr r="D379" s="1"/>
      </tp>
      <tp>
        <v>36.65</v>
        <stp/>
        <stp>LOW</stp>
        <stp>MYL</stp>
        <tr r="M321" s="1"/>
      </tp>
      <tp t="s">
        <v>instrument=PPG</v>
        <stp/>
        <stp>QUOTE_TREND</stp>
        <stp>PPG</stp>
        <tr r="D376" s="1"/>
      </tp>
      <tp t="s">
        <v>instrument=PPL</v>
        <stp/>
        <stp>QUOTE_TREND</stp>
        <stp>PPL</stp>
        <tr r="D377" s="1"/>
      </tp>
      <tp t="s">
        <v>instrument=PWR</v>
        <stp/>
        <stp>QUOTE_TREND</stp>
        <stp>PWR</stp>
        <tr r="D383" s="1"/>
      </tp>
      <tp t="s">
        <v>instrument=PVH</v>
        <stp/>
        <stp>QUOTE_TREND</stp>
        <stp>PVH</stp>
        <tr r="D382" s="1"/>
      </tp>
      <tp>
        <v>34.869999999999997</v>
        <stp/>
        <stp>BID</stp>
        <stp>CVC</stp>
        <tr r="F125" s="1"/>
      </tp>
      <tp>
        <v>114.61</v>
        <stp/>
        <stp>BID</stp>
        <stp>CVX</stp>
        <tr r="F127" s="1"/>
      </tp>
      <tp>
        <v>61.640099999999997</v>
        <stp/>
        <stp>LOW</stp>
        <stp>MPC</stp>
        <tr r="M311" s="1"/>
      </tp>
      <tp>
        <v>70.02</v>
        <stp/>
        <stp>BID</stp>
        <stp>CVS</stp>
        <tr r="F126" s="1"/>
      </tp>
      <tp>
        <v>14.75</v>
        <stp/>
        <stp>BID</stp>
        <stp>CTL</stp>
        <tr r="F122" s="1"/>
      </tp>
      <tp>
        <v>14.7</v>
        <stp/>
        <stp>LOW</stp>
        <stp>MRO</stp>
        <tr r="M313" s="1"/>
      </tp>
      <tp>
        <v>54.75</v>
        <stp/>
        <stp>LOW</stp>
        <stp>MRK</stp>
        <tr r="M312" s="1"/>
      </tp>
      <tp t="s">
        <v>instrument=PXD</v>
        <stp/>
        <stp>QUOTE_TREND</stp>
        <stp>PXD</stp>
        <tr r="D385" s="1"/>
      </tp>
      <tp>
        <v>90.42</v>
        <stp/>
        <stp>LOW</stp>
        <stp>MSI</stp>
        <tr r="M316" s="1"/>
      </tp>
      <tp>
        <v>107.6</v>
        <stp/>
        <stp>BID</stp>
        <stp>CRM</stp>
        <tr r="F117" s="1"/>
      </tp>
      <tp>
        <v>158.29</v>
        <stp/>
        <stp>LOW</stp>
        <stp>MTB</stp>
        <tr r="M317" s="1"/>
      </tp>
      <tp>
        <v>27.72</v>
        <stp/>
        <stp>LOW</stp>
        <stp>MUR</stp>
        <tr r="M319" s="1"/>
      </tp>
      <tp>
        <v>0.91</v>
        <stp/>
        <stp>BID</stp>
        <stp>CSC</stp>
        <tr r="F118" s="1"/>
      </tp>
      <tp>
        <v>49.91</v>
        <stp/>
        <stp>BID</stp>
        <stp>CSX</stp>
        <tr r="F120" s="1"/>
      </tp>
      <tp>
        <v>47.2</v>
        <stp/>
        <stp>BID</stp>
        <stp>CPB</stp>
        <tr r="F116" s="1"/>
      </tp>
      <tp>
        <v>0</v>
        <stp/>
        <stp>LOW</stp>
        <stp>MWV</stp>
        <tr r="M320" s="1"/>
      </tp>
      <tp t="s">
        <v>instrument=PCP</v>
        <stp/>
        <stp>QUOTE_TREND</stp>
        <stp>PCP</stp>
        <tr r="D357" s="1"/>
      </tp>
      <tp t="s">
        <v>N/A</v>
        <stp/>
        <stp>LOW</stp>
        <stp>MHP</stp>
        <tr r="M301" s="1"/>
      </tp>
      <tp t="s">
        <v>instrument=PCG</v>
        <stp/>
        <stp>QUOTE_TREND</stp>
        <stp>PCG</stp>
        <tr r="D354" s="1"/>
      </tp>
      <tp>
        <v>16.29</v>
        <stp/>
        <stp>BID</stp>
        <stp>CNX</stp>
        <tr r="F108" s="1"/>
      </tp>
      <tp t="s">
        <v>instrument=PCL</v>
        <stp/>
        <stp>QUOTE_TREND</stp>
        <stp>PCL</stp>
        <tr r="D355" s="1"/>
      </tp>
      <tp>
        <v>28.85</v>
        <stp/>
        <stp>BID</stp>
        <stp>CNP</stp>
        <tr r="F107" s="1"/>
      </tp>
      <tp>
        <v>129.32</v>
        <stp/>
        <stp>BID</stp>
        <stp>COL</stp>
        <tr r="F112" s="1"/>
      </tp>
      <tp>
        <v>39.700000000000003</v>
        <stp/>
        <stp>BID</stp>
        <stp>COH</stp>
        <tr r="F111" s="1"/>
      </tp>
      <tp>
        <v>29.3</v>
        <stp/>
        <stp>BID</stp>
        <stp>COG</stp>
        <tr r="F110" s="1"/>
      </tp>
      <tp>
        <v>85.91</v>
        <stp/>
        <stp>BID</stp>
        <stp>COF</stp>
        <tr r="F109" s="1"/>
      </tp>
      <tp t="s">
        <v>N/A</v>
        <stp/>
        <stp>BID</stp>
        <stp>COV</stp>
        <tr r="F115" s="1"/>
      </tp>
      <tp>
        <v>50.05</v>
        <stp/>
        <stp>BID</stp>
        <stp>COP</stp>
        <tr r="F113" s="1"/>
      </tp>
      <tp t="s">
        <v>instrument=PBI</v>
        <stp/>
        <stp>QUOTE_TREND</stp>
        <stp>PBI</stp>
        <tr r="D352" s="1"/>
      </tp>
      <tp>
        <v>6.07</v>
        <stp/>
        <stp>BID</stp>
        <stp>CLF</stp>
        <tr r="F99" s="1"/>
      </tp>
      <tp>
        <v>0</v>
        <stp/>
        <stp>LOW</stp>
        <stp>MJN</stp>
        <tr r="M302" s="1"/>
      </tp>
      <tp>
        <v>131</v>
        <stp/>
        <stp>BID</stp>
        <stp>CLX</stp>
        <tr r="F100" s="1"/>
      </tp>
      <tp>
        <v>159</v>
        <stp/>
        <stp>BID</stp>
        <stp>CMI</stp>
        <tr r="F105" s="1"/>
      </tp>
      <tp>
        <v>136.52000000000001</v>
        <stp/>
        <stp>BID</stp>
        <stp>CME</stp>
        <tr r="F103" s="1"/>
      </tp>
      <tp>
        <v>289.85000000000002</v>
        <stp/>
        <stp>BID</stp>
        <stp>CMG</stp>
        <tr r="F104" s="1"/>
      </tp>
      <tp>
        <v>76</v>
        <stp/>
        <stp>BID</stp>
        <stp>CMA</stp>
        <tr r="F101" s="1"/>
      </tp>
      <tp>
        <v>99.06</v>
        <stp/>
        <stp>LOW</stp>
        <stp>MKC</stp>
        <tr r="M303" s="1"/>
      </tp>
      <tp>
        <v>49.52</v>
        <stp/>
        <stp>BID</stp>
        <stp>CMS</stp>
        <tr r="F106" s="1"/>
      </tp>
      <tp t="s">
        <v>instrument=PGR</v>
        <stp/>
        <stp>QUOTE_TREND</stp>
        <stp>PGR</stp>
        <tr r="D365" s="1"/>
      </tp>
      <tp t="s">
        <v>instrument=PFG</v>
        <stp/>
        <stp>QUOTE_TREND</stp>
        <stp>PFG</stp>
        <tr r="D363" s="1"/>
      </tp>
      <tp>
        <v>227.74</v>
        <stp/>
        <stp>LOW</stp>
        <stp>MMM</stp>
        <tr r="M305" s="1"/>
      </tp>
      <tp t="s">
        <v>instrument=PFE</v>
        <stp/>
        <stp>QUOTE_TREND</stp>
        <stp>PFE</stp>
        <tr r="D362" s="1"/>
      </tp>
      <tp>
        <v>82.29</v>
        <stp/>
        <stp>LOW</stp>
        <stp>MMC</stp>
        <tr r="M304" s="1"/>
      </tp>
      <tp>
        <v>4</v>
        <stp/>
        <stp>BID</stp>
        <stp>CHK</stp>
        <tr r="F94" s="1"/>
      </tp>
      <tp t="s">
        <v>instrument=PEP</v>
        <stp/>
        <stp>QUOTE_TREND</stp>
        <stp>PEP</stp>
        <tr r="D360" s="1"/>
      </tp>
      <tp t="s">
        <v>instrument=PEG</v>
        <stp/>
        <stp>QUOTE_TREND</stp>
        <stp>PEG</stp>
        <tr r="D359" s="1"/>
      </tp>
      <tp>
        <v>22.43</v>
        <stp/>
        <stp>LOW</stp>
        <stp>MOS</stp>
        <tr r="M310" s="1"/>
      </tp>
      <tp>
        <v>118.15</v>
        <stp/>
        <stp>LOW</stp>
        <stp>MON</stp>
        <tr r="M309" s="1"/>
      </tp>
      <tp t="s">
        <v>N/A</v>
        <stp/>
        <stp>BID</stp>
        <stp>CFN</stp>
        <tr r="F93" s="1"/>
      </tp>
      <tp t="s">
        <v>instrument=PKI</v>
        <stp/>
        <stp>QUOTE_TREND</stp>
        <stp>PKI</stp>
        <tr r="D368" s="1"/>
      </tp>
      <tp>
        <v>18.11</v>
        <stp/>
        <stp>LOW</stp>
        <stp>MAT</stp>
        <tr r="M293" s="1"/>
      </tp>
      <tp>
        <v>123.77</v>
        <stp/>
        <stp>LOW</stp>
        <stp>MAR</stp>
        <tr r="M291" s="1"/>
      </tp>
      <tp>
        <v>38.869999999999997</v>
        <stp/>
        <stp>LOW</stp>
        <stp>MAS</stp>
        <tr r="M292" s="1"/>
      </tp>
      <tp>
        <v>63.66</v>
        <stp/>
        <stp>LOW</stp>
        <stp>MAC</stp>
        <tr r="M290" s="1"/>
      </tp>
      <tp>
        <v>143.61000000000001</v>
        <stp/>
        <stp>LOW</stp>
        <stp>MCO</stp>
        <tr r="M297" s="1"/>
      </tp>
      <tp>
        <v>140.88999999999999</v>
        <stp/>
        <stp>LOW</stp>
        <stp>MCK</stp>
        <tr r="M296" s="1"/>
      </tp>
      <tp>
        <v>166.16</v>
        <stp/>
        <stp>LOW</stp>
        <stp>MCD</stp>
        <tr r="M294" s="1"/>
      </tp>
      <tp t="s">
        <v>instrument=PHM</v>
        <stp/>
        <stp>QUOTE_TREND</stp>
        <stp>PHM</stp>
        <tr r="D367" s="1"/>
      </tp>
      <tp>
        <v>42.65</v>
        <stp/>
        <stp>BID</stp>
        <stp>CBG</stp>
        <tr r="F85" s="1"/>
      </tp>
      <tp>
        <v>78.739999999999995</v>
        <stp/>
        <stp>LOW</stp>
        <stp>MDT</stp>
        <tr r="M299" s="1"/>
      </tp>
      <tp t="s">
        <v>instrument=POM</v>
        <stp/>
        <stp>QUOTE_TREND</stp>
        <stp>POM</stp>
        <tr r="D375" s="1"/>
      </tp>
      <tp>
        <v>56.73</v>
        <stp/>
        <stp>BID</stp>
        <stp>CBS</stp>
        <tr r="F86" s="1"/>
      </tp>
      <tp>
        <v>65.33</v>
        <stp/>
        <stp>BID</stp>
        <stp>CCL</stp>
        <tr r="F89" s="1"/>
      </tp>
      <tp t="s">
        <v>instrument=PNW</v>
        <stp/>
        <stp>QUOTE_TREND</stp>
        <stp>PNW</stp>
        <tr r="D374" s="1"/>
      </tp>
      <tp>
        <v>110.03</v>
        <stp/>
        <stp>BID</stp>
        <stp>CCI</stp>
        <tr r="F88" s="1"/>
      </tp>
      <tp t="s">
        <v>instrument=PNR</v>
        <stp/>
        <stp>QUOTE_TREND</stp>
        <stp>PNR</stp>
        <tr r="D373" s="1"/>
      </tp>
      <tp>
        <v>35.229999999999997</v>
        <stp/>
        <stp>BID</stp>
        <stp>CCE</stp>
        <tr r="F87" s="1"/>
      </tp>
      <tp>
        <v>51.16</v>
        <stp/>
        <stp>LOW</stp>
        <stp>MET</stp>
        <tr r="M300" s="1"/>
      </tp>
      <tp t="s">
        <v>instrument=PNC</v>
        <stp/>
        <stp>QUOTE_TREND</stp>
        <stp>PNC</stp>
        <tr r="D372" s="1"/>
      </tp>
      <tp>
        <v>0.18</v>
        <stp/>
        <stp>NET_CHANGE</stp>
        <stp>AKAM</stp>
        <tr r="E28" s="1"/>
      </tp>
      <tp>
        <v>65.849999999999994</v>
        <stp/>
        <stp>BID</stp>
        <stp>CAM</stp>
        <tr r="F82" s="1"/>
      </tp>
      <tp>
        <v>56.55</v>
        <stp/>
        <stp>BID</stp>
        <stp>CAH</stp>
        <tr r="F81" s="1"/>
      </tp>
      <tp>
        <v>33.880000000000003</v>
        <stp/>
        <stp>BID</stp>
        <stp>CAG</stp>
        <tr r="F80" s="1"/>
      </tp>
      <tp t="s">
        <v>instrument=PLD</v>
        <stp/>
        <stp>QUOTE_TREND</stp>
        <stp>PLD</stp>
        <tr r="D369" s="1"/>
      </tp>
      <tp>
        <v>135.88999999999999</v>
        <stp/>
        <stp>BID</stp>
        <stp>CAT</stp>
        <tr r="F83" s="1"/>
      </tp>
      <tp t="s">
        <v>instrument=PLL</v>
        <stp/>
        <stp>QUOTE_TREND</stp>
        <stp>PLL</stp>
        <tr r="D370" s="1"/>
      </tp>
      <tp>
        <v>119.485</v>
        <stp/>
        <stp>HIGH</stp>
        <stp>DNB</stp>
        <tr r="L142" s="1"/>
      </tp>
      <tp>
        <v>1.74</v>
        <stp/>
        <stp>HIGH</stp>
        <stp>DNR</stp>
        <tr r="L143" s="1"/>
      </tp>
      <tp>
        <v>94.48</v>
        <stp/>
        <stp>HIGH</stp>
        <stp>DOV</stp>
        <tr r="L145" s="1"/>
      </tp>
      <tp>
        <v>0</v>
        <stp/>
        <stp>HIGH</stp>
        <stp>DOW</stp>
        <tr r="L146" s="1"/>
      </tp>
      <tp>
        <v>398.22</v>
        <stp/>
        <stp>52HIGH</stp>
        <stp>SHW</stp>
        <tr r="N409" s="1"/>
      </tp>
      <tp>
        <v>42.22</v>
        <stp/>
        <stp>BID</stp>
        <stp>MDLZ</stp>
        <tr r="F298" s="1"/>
      </tp>
      <tp t="s">
        <v>instrument=FITB</v>
        <stp/>
        <stp>QUOTE_TREND</stp>
        <stp>FITB</stp>
        <tr r="D186" s="1"/>
      </tp>
      <tp>
        <v>143.68</v>
        <stp/>
        <stp>52HIGH</stp>
        <stp>SJM</stp>
        <tr r="N411" s="1"/>
      </tp>
      <tp>
        <v>13.2</v>
        <stp/>
        <stp>52HIGH</stp>
        <stp>SLM</stp>
        <tr r="N413" s="1"/>
      </tp>
      <tp>
        <v>87.84</v>
        <stp/>
        <stp>52HIGH</stp>
        <stp>SLB</stp>
        <tr r="N412" s="1"/>
      </tp>
      <tp t="s">
        <v>instrument=FISV</v>
        <stp/>
        <stp>QUOTE_TREND</stp>
        <stp>FISV</stp>
        <tr r="D185" s="1"/>
      </tp>
      <tp>
        <v>48.31</v>
        <stp/>
        <stp>HIGH</stp>
        <stp>DHI</stp>
        <tr r="L136" s="1"/>
      </tp>
      <tp>
        <v>93.64</v>
        <stp/>
        <stp>HIGH</stp>
        <stp>DHR</stp>
        <tr r="L137" s="1"/>
      </tp>
      <tp>
        <v>103.99</v>
        <stp/>
        <stp>HIGH</stp>
        <stp>DIS</stp>
        <tr r="L138" s="1"/>
      </tp>
      <tp>
        <v>88.45</v>
        <stp/>
        <stp>52HIGH</stp>
        <stp>SNI</stp>
        <tr r="N416" s="1"/>
      </tp>
      <tp>
        <v>181.73</v>
        <stp/>
        <stp>52HIGH</stp>
        <stp>SNA</stp>
        <tr r="N414" s="1"/>
      </tp>
      <tp>
        <v>65.3904</v>
        <stp/>
        <stp>HIGH</stp>
        <stp>DFS</stp>
        <tr r="L133" s="1"/>
      </tp>
      <tp t="s">
        <v>N/A</v>
        <stp/>
        <stp>52HIGH</stp>
        <stp>SAI</stp>
        <tr r="N403" s="1"/>
      </tp>
      <tp>
        <v>93.715000000000003</v>
        <stp/>
        <stp>HIGH</stp>
        <stp>DGX</stp>
        <tr r="L135" s="1"/>
      </tp>
      <tp>
        <v>74.989999999999995</v>
        <stp/>
        <stp>52HIGH</stp>
        <stp>SCG</stp>
        <tr r="N405" s="1"/>
      </tp>
      <tp>
        <v>56.84</v>
        <stp/>
        <stp>LOW</stp>
        <stp>SBUX</stp>
        <tr r="M404" s="1"/>
      </tp>
      <tp>
        <v>50.62</v>
        <stp/>
        <stp>52HIGH</stp>
        <stp>SEE</stp>
        <tr r="N408" s="1"/>
      </tp>
      <tp>
        <v>73.06</v>
        <stp/>
        <stp>BID</stp>
        <stp>NDAQ</stp>
        <tr r="F324" s="1"/>
      </tp>
      <tp>
        <v>32.799999999999997</v>
        <stp/>
        <stp>BID</stp>
        <stp>PDCO</stp>
        <tr r="F358" s="1"/>
      </tp>
      <tp>
        <v>182.03</v>
        <stp/>
        <stp>BID</stp>
        <stp>ADBE</stp>
        <tr r="F13" s="1"/>
      </tp>
      <tp>
        <v>64.92</v>
        <stp/>
        <stp>Mark</stp>
        <stp>PAYX</stp>
        <tr r="P350" s="1"/>
      </tp>
      <tp>
        <v>160.62</v>
        <stp/>
        <stp>52HIGH</stp>
        <stp>SYK</stp>
        <tr r="N430" s="1"/>
      </tp>
      <tp>
        <v>57.23</v>
        <stp/>
        <stp>52HIGH</stp>
        <stp>SYY</stp>
        <tr r="N432" s="1"/>
      </tp>
      <tp t="s">
        <v>instrument=LIFE</v>
        <stp/>
        <stp>QUOTE_TREND</stp>
        <stp>LIFE</stp>
        <tr r="D273" s="1"/>
      </tp>
      <tp t="s">
        <v>instrument=SIAL</v>
        <stp/>
        <stp>QUOTE_TREND</stp>
        <stp>SIAL</stp>
        <tr r="D410" s="1"/>
      </tp>
      <tp t="s">
        <v>instrument=VIAB</v>
        <stp/>
        <stp>QUOTE_TREND</stp>
        <stp>VIAB</stp>
        <tr r="D467" s="1"/>
      </tp>
      <tp>
        <v>38.96</v>
        <stp/>
        <stp>HIGH</stp>
        <stp>DVN</stp>
        <tr r="L153" s="1"/>
      </tp>
      <tp>
        <v>55.63</v>
        <stp/>
        <stp>HIGH</stp>
        <stp>DVA</stp>
        <tr r="L152" s="1"/>
      </tp>
      <tp t="s">
        <v>instrument=CINF</v>
        <stp/>
        <stp>QUOTE_TREND</stp>
        <stp>CINF</stp>
        <tr r="D97" s="1"/>
      </tp>
      <tp>
        <v>170.02</v>
        <stp/>
        <stp>Mark</stp>
        <stp>AAPL</stp>
        <tr r="P6" s="1"/>
      </tp>
      <tp>
        <v>188.09950000000001</v>
        <stp/>
        <stp>52HIGH</stp>
        <stp>SPG</stp>
        <tr r="N418" s="1"/>
      </tp>
      <tp t="s">
        <v>instrument=ZION</v>
        <stp/>
        <stp>QUOTE_TREND</stp>
        <stp>ZION</stp>
        <tr r="D502" s="1"/>
      </tp>
      <tp>
        <v>48.5</v>
        <stp/>
        <stp>Mark</stp>
        <stp>FAST</stp>
        <tr r="P177" s="1"/>
      </tp>
      <tp>
        <v>114.08</v>
        <stp/>
        <stp>HIGH</stp>
        <stp>DTE</stp>
        <tr r="L149" s="1"/>
      </tp>
      <tp>
        <v>55.8</v>
        <stp/>
        <stp>HIGH</stp>
        <stp>DTV</stp>
        <tr r="L150" s="1"/>
      </tp>
      <tp t="s">
        <v>instrument=GILD</v>
        <stp/>
        <stp>QUOTE_TREND</stp>
        <stp>GILD</stp>
        <tr r="D200" s="1"/>
      </tp>
      <tp>
        <v>89.28</v>
        <stp/>
        <stp>HIGH</stp>
        <stp>DUK</stp>
        <tr r="L151" s="1"/>
      </tp>
      <tp>
        <v>122.97499999999999</v>
        <stp/>
        <stp>52HIGH</stp>
        <stp>SRE</stp>
        <tr r="N421" s="1"/>
      </tp>
      <tp>
        <v>83.23</v>
        <stp/>
        <stp>HIGH</stp>
        <stp>DRI</stp>
        <tr r="L148" s="1"/>
      </tp>
      <tp>
        <v>93.57</v>
        <stp/>
        <stp>LOW</stp>
        <stp>ABBV</stp>
        <tr r="M7" s="1"/>
      </tp>
      <tp>
        <v>20.41</v>
        <stp/>
        <stp>LOW</stp>
        <stp>BBBY</stp>
        <tr r="M56" s="1"/>
      </tp>
      <tp>
        <v>61.69</v>
        <stp/>
        <stp>52HIGH</stp>
        <stp>STI</stp>
        <tr r="N422" s="1"/>
      </tp>
      <tp>
        <v>84</v>
        <stp/>
        <stp>52HIGH</stp>
        <stp>STJ</stp>
        <tr r="N423" s="1"/>
      </tp>
      <tp>
        <v>50.96</v>
        <stp/>
        <stp>52HIGH</stp>
        <stp>STX</stp>
        <tr r="N425" s="1"/>
      </tp>
      <tp>
        <v>227.2</v>
        <stp/>
        <stp>52HIGH</stp>
        <stp>STZ</stp>
        <tr r="N426" s="1"/>
      </tp>
      <tp>
        <v>99.99</v>
        <stp/>
        <stp>52HIGH</stp>
        <stp>STT</stp>
        <tr r="N424" s="1"/>
      </tp>
      <tp>
        <v>17.98</v>
        <stp/>
        <stp>LOW</stp>
        <stp>PBCT</stp>
        <tr r="M351" s="1"/>
      </tp>
      <tp>
        <v>84.77</v>
        <stp/>
        <stp>52LOW</stp>
        <stp>NVDA</stp>
        <tr r="O340" s="1"/>
      </tp>
      <tp>
        <v>87.29</v>
        <stp/>
        <stp>HIGH</stp>
        <stp>DPS</stp>
        <tr r="L147" s="1"/>
      </tp>
      <tp>
        <v>12.85</v>
        <stp/>
        <stp>52HIGH</stp>
        <stp>SWN</stp>
        <tr r="N428" s="1"/>
      </tp>
      <tp>
        <v>168.25</v>
        <stp/>
        <stp>52HIGH</stp>
        <stp>SWK</stp>
        <tr r="N427" s="1"/>
      </tp>
      <tp>
        <v>149.51</v>
        <stp/>
        <stp>52HIGH</stp>
        <stp>SWY</stp>
        <tr r="N429" s="1"/>
      </tp>
      <tp>
        <v>126</v>
        <stp/>
        <stp>BID</stp>
        <stp>ADSK</stp>
        <tr r="F17" s="1"/>
      </tp>
      <tp>
        <v>8.99</v>
        <stp/>
        <stp>BID</stp>
        <stp>JDSU</stp>
        <tr r="F251" s="1"/>
      </tp>
      <tp t="s">
        <v>instrument=BIIB</v>
        <stp/>
        <stp>QUOTE_TREND</stp>
        <stp>BIIB</stp>
        <tr r="D65" s="1"/>
      </tp>
      <tp>
        <v>13.32</v>
        <stp/>
        <stp>LOW</stp>
        <stp>HBAN</stp>
        <tr r="M215" s="1"/>
      </tp>
      <tp>
        <v>35.31</v>
        <stp/>
        <stp>LOW</stp>
        <stp>EBAY</stp>
        <tr r="M155" s="1"/>
      </tp>
      <tp>
        <v>1522177</v>
        <stp/>
        <stp>VOLUME</stp>
        <stp>OKE</stp>
        <tr r="J345" s="1"/>
      </tp>
      <tp>
        <v>4783586</v>
        <stp/>
        <stp>VOLUME</stp>
        <stp>OMC</stp>
        <tr r="J346" s="1"/>
      </tp>
      <tp t="s">
        <v>Range Bound</v>
        <stp/>
        <stp>STRENGTH_METER</stp>
        <stp>KSS</stp>
        <tr r="C268" s="1"/>
      </tp>
      <tp t="s">
        <v>Range Bound</v>
        <stp/>
        <stp>STRENGTH_METER</stp>
        <stp>KMX</stp>
        <tr r="C264" s="1"/>
      </tp>
      <tp t="s">
        <v>Range Bound</v>
        <stp/>
        <stp>STRENGTH_METER</stp>
        <stp>KMI</stp>
        <tr r="C263" s="1"/>
      </tp>
      <tp t="s">
        <v>Range Bound</v>
        <stp/>
        <stp>STRENGTH_METER</stp>
        <stp>KMB</stp>
        <tr r="C262" s="1"/>
      </tp>
      <tp t="s">
        <v>Range Bound</v>
        <stp/>
        <stp>STRENGTH_METER</stp>
        <stp>KIM</stp>
        <tr r="C260" s="1"/>
      </tp>
      <tp>
        <v>5504041</v>
        <stp/>
        <stp>VOLUME</stp>
        <stp>OXY</stp>
        <tr r="J349" s="1"/>
      </tp>
      <tp t="s">
        <v>Range Bound</v>
        <stp/>
        <stp>STRENGTH_METER</stp>
        <stp>KEY</stp>
        <tr r="C259" s="1"/>
      </tp>
      <tp>
        <v>92.5</v>
        <stp/>
        <stp>ASK</stp>
        <stp>ADI</stp>
        <tr r="G14" s="1"/>
      </tp>
      <tp>
        <v>39.450000000000003</v>
        <stp/>
        <stp>ASK</stp>
        <stp>ADM</stp>
        <tr r="G15" s="1"/>
      </tp>
      <tp>
        <v>111.14</v>
        <stp/>
        <stp>ASK</stp>
        <stp>ADP</stp>
        <tr r="G16" s="1"/>
      </tp>
      <tp>
        <v>41.99</v>
        <stp/>
        <stp>ASK</stp>
        <stp>ADT</stp>
        <tr r="G18" s="1"/>
      </tp>
      <tp>
        <v>64.13</v>
        <stp/>
        <stp>ASK</stp>
        <stp>AEE</stp>
        <tr r="G19" s="1"/>
      </tp>
      <tp>
        <v>10.86</v>
        <stp/>
        <stp>ASK</stp>
        <stp>AES</stp>
        <tr r="G21" s="1"/>
      </tp>
      <tp>
        <v>77.97</v>
        <stp/>
        <stp>ASK</stp>
        <stp>AEP</stp>
        <tr r="G20" s="1"/>
      </tp>
      <tp>
        <v>175</v>
        <stp/>
        <stp>ASK</stp>
        <stp>AET</stp>
        <tr r="G22" s="1"/>
      </tp>
      <tp>
        <v>102.52</v>
        <stp/>
        <stp>LOW</stp>
        <stp>LYB</stp>
        <tr r="M287" s="1"/>
      </tp>
      <tp>
        <v>85.25</v>
        <stp/>
        <stp>ASK</stp>
        <stp>AFL</stp>
        <tr r="G23" s="1"/>
      </tp>
      <tp>
        <v>175.07</v>
        <stp/>
        <stp>ASK</stp>
        <stp>AGN</stp>
        <tr r="G24" s="1"/>
      </tp>
      <tp>
        <v>79</v>
        <stp/>
        <stp>ASK</stp>
        <stp>ABC</stp>
        <tr r="G8" s="1"/>
      </tp>
      <tp>
        <v>55.58</v>
        <stp/>
        <stp>ASK</stp>
        <stp>ABT</stp>
        <tr r="G9" s="1"/>
      </tp>
      <tp>
        <v>125.06</v>
        <stp/>
        <stp>BID</stp>
        <stp>BXP</stp>
        <tr r="F77" s="1"/>
      </tp>
      <tp>
        <v>112.05</v>
        <stp/>
        <stp>ASK</stp>
        <stp>ACE</stp>
        <tr r="G10" s="1"/>
      </tp>
      <tp>
        <v>153.37</v>
        <stp/>
        <stp>ASK</stp>
        <stp>ACN</stp>
        <tr r="G11" s="1"/>
      </tp>
      <tp>
        <v>400</v>
        <stp/>
        <stp>ASK</stp>
        <stp>ACT</stp>
        <tr r="G12" s="1"/>
      </tp>
      <tp>
        <v>105</v>
        <stp/>
        <stp>ASK</stp>
        <stp>ALL</stp>
        <tr r="G29" s="1"/>
      </tp>
      <tp>
        <v>11.36</v>
        <stp/>
        <stp>ASK</stp>
        <stp>AMD</stp>
        <tr r="G33" s="1"/>
      </tp>
      <tp>
        <v>45</v>
        <stp/>
        <stp>BID</stp>
        <stp>BWA</stp>
        <tr r="F76" s="1"/>
      </tp>
      <tp>
        <v>159.09</v>
        <stp/>
        <stp>ASK</stp>
        <stp>AMP</stp>
        <tr r="G35" s="1"/>
      </tp>
      <tp>
        <v>146.01</v>
        <stp/>
        <stp>ASK</stp>
        <stp>AMT</stp>
        <tr r="G36" s="1"/>
      </tp>
      <tp>
        <v>15.65</v>
        <stp/>
        <stp>ASK</stp>
        <stp>ANF</stp>
        <tr r="G39" s="1"/>
      </tp>
      <tp>
        <v>29.58</v>
        <stp/>
        <stp>BID</stp>
        <stp>BTU</stp>
        <tr r="F75" s="1"/>
      </tp>
      <tp>
        <v>145.63999999999999</v>
        <stp/>
        <stp>ASK</stp>
        <stp>AON</stp>
        <tr r="G40" s="1"/>
      </tp>
      <tp>
        <v>88.295000000000002</v>
        <stp/>
        <stp>LOW</stp>
        <stp>LSI</stp>
        <tr r="M283" s="1"/>
      </tp>
      <tp t="s">
        <v>N/A</v>
        <stp/>
        <stp>LOW</stp>
        <stp>LTD</stp>
        <tr r="M284" s="1"/>
      </tp>
      <tp>
        <v>60.02</v>
        <stp/>
        <stp>ASK</stp>
        <stp>AIG</stp>
        <tr r="G25" s="1"/>
      </tp>
      <tp>
        <v>54.3</v>
        <stp/>
        <stp>LOW</stp>
        <stp>LUV</stp>
        <tr r="M286" s="1"/>
      </tp>
      <tp>
        <v>46.19</v>
        <stp/>
        <stp>ASK</stp>
        <stp>AIV</stp>
        <tr r="G26" s="1"/>
      </tp>
      <tp>
        <v>28.19</v>
        <stp/>
        <stp>BID</stp>
        <stp>BSX</stp>
        <tr r="F74" s="1"/>
      </tp>
      <tp>
        <v>24.92</v>
        <stp/>
        <stp>LOW</stp>
        <stp>LUK</stp>
        <tr r="M285" s="1"/>
      </tp>
      <tp>
        <v>98.73</v>
        <stp/>
        <stp>ASK</stp>
        <stp>AIZ</stp>
        <tr r="G27" s="1"/>
      </tp>
      <tp>
        <v>22.05</v>
        <stp/>
        <stp>ASK</stp>
        <stp>ATI</stp>
        <tr r="G47" s="1"/>
      </tp>
      <tp>
        <v>184.37</v>
        <stp/>
        <stp>ASK</stp>
        <stp>AVB</stp>
        <tr r="G48" s="1"/>
      </tp>
      <tp>
        <v>39.97</v>
        <stp/>
        <stp>BID</stp>
        <stp>BLL</stp>
        <tr r="F68" s="1"/>
      </tp>
      <tp>
        <v>458.55</v>
        <stp/>
        <stp>BID</stp>
        <stp>BLK</stp>
        <tr r="F67" s="1"/>
      </tp>
      <tp>
        <v>1.93</v>
        <stp/>
        <stp>ASK</stp>
        <stp>AVP</stp>
        <tr r="G49" s="1"/>
      </tp>
      <tp>
        <v>114.25</v>
        <stp/>
        <stp>ASK</stp>
        <stp>AVY</stp>
        <tr r="G50" s="1"/>
      </tp>
      <tp t="s">
        <v>N/A</v>
        <stp/>
        <stp>BID</stp>
        <stp>BMC</stp>
        <tr r="F69" s="1"/>
      </tp>
      <tp>
        <v>61.15</v>
        <stp/>
        <stp>BID</stp>
        <stp>BMY</stp>
        <tr r="F71" s="1"/>
      </tp>
      <tp>
        <v>44.8</v>
        <stp/>
        <stp>BID</stp>
        <stp>BMS</stp>
        <tr r="F70" s="1"/>
      </tp>
      <tp>
        <v>48.19</v>
        <stp/>
        <stp>ASK</stp>
        <stp>APC</stp>
        <tr r="G42" s="1"/>
      </tp>
      <tp>
        <v>41.19</v>
        <stp/>
        <stp>ASK</stp>
        <stp>APA</stp>
        <tr r="G41" s="1"/>
      </tp>
      <tp>
        <v>170.58</v>
        <stp/>
        <stp>ASK</stp>
        <stp>APD</stp>
        <tr r="G43" s="1"/>
      </tp>
      <tp>
        <v>82.8</v>
        <stp/>
        <stp>LOW</stp>
        <stp>LLY</stp>
        <tr r="M276" s="1"/>
      </tp>
      <tp>
        <v>101</v>
        <stp/>
        <stp>ASK</stp>
        <stp>APH</stp>
        <tr r="G44" s="1"/>
      </tp>
      <tp>
        <v>184.09</v>
        <stp/>
        <stp>LOW</stp>
        <stp>LLL</stp>
        <tr r="M274" s="1"/>
      </tp>
      <tp>
        <v>309.5</v>
        <stp/>
        <stp>LOW</stp>
        <stp>LMT</stp>
        <tr r="M278" s="1"/>
      </tp>
      <tp>
        <v>57.71</v>
        <stp/>
        <stp>BID</stp>
        <stp>BHI</stp>
        <tr r="F64" s="1"/>
      </tp>
      <tp>
        <v>142.97999999999999</v>
        <stp/>
        <stp>ASK</stp>
        <stp>ARG</stp>
        <tr r="G46" s="1"/>
      </tp>
      <tp t="s">
        <v>instrument=QEP</v>
        <stp/>
        <stp>QUOTE_TREND</stp>
        <stp>QEP</stp>
        <tr r="D387" s="1"/>
      </tp>
      <tp>
        <v>73.47</v>
        <stp/>
        <stp>LOW</stp>
        <stp>LNC</stp>
        <tr r="M279" s="1"/>
      </tp>
      <tp>
        <v>79.17</v>
        <stp/>
        <stp>LOW</stp>
        <stp>LOW</stp>
        <tr r="M281" s="1"/>
      </tp>
      <tp>
        <v>170.01</v>
        <stp/>
        <stp>BID</stp>
        <stp>BDX</stp>
        <tr r="F60" s="1"/>
      </tp>
      <tp>
        <v>36.5</v>
        <stp/>
        <stp>BID</stp>
        <stp>BEN</stp>
        <tr r="F62" s="1"/>
      </tp>
      <tp>
        <v>93.77</v>
        <stp/>
        <stp>ASK</stp>
        <stp>AXP</stp>
        <tr r="G51" s="1"/>
      </tp>
      <tp>
        <v>55.64</v>
        <stp/>
        <stp>BID</stp>
        <stp>BBY</stp>
        <tr r="F58" s="1"/>
      </tp>
      <tp>
        <v>46.71</v>
        <stp/>
        <stp>BID</stp>
        <stp>BBT</stp>
        <tr r="F57" s="1"/>
      </tp>
      <tp>
        <v>57.81</v>
        <stp/>
        <stp>LOW</stp>
        <stp>LEN</stp>
        <tr r="M271" s="1"/>
      </tp>
      <tp>
        <v>45.74</v>
        <stp/>
        <stp>LOW</stp>
        <stp>LEG</stp>
        <tr r="M270" s="1"/>
      </tp>
      <tp>
        <v>1.01</v>
        <stp/>
        <stp>BID</stp>
        <stp>BCR</stp>
        <tr r="F59" s="1"/>
      </tp>
      <tp>
        <v>650</v>
        <stp/>
        <stp>ASK</stp>
        <stp>AZO</stp>
        <tr r="G52" s="1"/>
      </tp>
      <tp>
        <v>26.58</v>
        <stp/>
        <stp>BID</stp>
        <stp>BAC</stp>
        <tr r="F54" s="1"/>
      </tp>
      <tp>
        <v>63.8</v>
        <stp/>
        <stp>BID</stp>
        <stp>BAX</stp>
        <tr r="F55" s="1"/>
      </tp>
      <tp>
        <v>102.21</v>
        <stp/>
        <stp>HIGH</stp>
        <stp>EOG</stp>
        <tr r="L164" s="1"/>
      </tp>
      <tp>
        <v>55.16</v>
        <stp/>
        <stp>52HIGH</stp>
        <stp>RHI</stp>
        <tr r="N393" s="1"/>
      </tp>
      <tp>
        <v>126.67</v>
        <stp/>
        <stp>52HIGH</stp>
        <stp>RHT</stp>
        <tr r="N394" s="1"/>
      </tp>
      <tp>
        <v>103.7</v>
        <stp/>
        <stp>BID</stp>
        <stp>CELG</stp>
        <tr r="F90" s="1"/>
      </tp>
      <tp t="s">
        <v>N/A</v>
        <stp/>
        <stp>BID</stp>
        <stp>DELL</stp>
        <tr r="F131" s="1"/>
      </tp>
      <tp>
        <v>90.24</v>
        <stp/>
        <stp>HIGH</stp>
        <stp>EMN</stp>
        <tr r="L162" s="1"/>
      </tp>
      <tp>
        <v>0</v>
        <stp/>
        <stp>HIGH</stp>
        <stp>EMC</stp>
        <tr r="L161" s="1"/>
      </tp>
      <tp>
        <v>60.24</v>
        <stp/>
        <stp>HIGH</stp>
        <stp>EMR</stp>
        <tr r="L163" s="1"/>
      </tp>
      <tp t="s">
        <v>instrument=CHRW</v>
        <stp/>
        <stp>QUOTE_TREND</stp>
        <stp>CHRW</stp>
        <tr r="D95" s="1"/>
      </tp>
      <tp>
        <v>48.47</v>
        <stp/>
        <stp>Last</stp>
        <stp>FAST</stp>
        <tr r="B177" s="1"/>
      </tp>
      <tp>
        <v>170.15</v>
        <stp/>
        <stp>Last</stp>
        <stp>AAPL</stp>
        <tr r="B6" s="1"/>
      </tp>
      <tp>
        <v>210.72</v>
        <stp/>
        <stp>52HIGH</stp>
        <stp>ROK</stp>
        <tr r="N396" s="1"/>
      </tp>
      <tp>
        <v>261.37</v>
        <stp/>
        <stp>52HIGH</stp>
        <stp>ROP</stp>
        <tr r="N397" s="1"/>
      </tp>
      <tp>
        <v>81.78</v>
        <stp/>
        <stp>HIGH</stp>
        <stp>EIX</stp>
        <tr r="L159" s="1"/>
      </tp>
      <tp>
        <v>111.61</v>
        <stp/>
        <stp>HIGH</stp>
        <stp>EFX</stp>
        <tr r="L158" s="1"/>
      </tp>
      <tp>
        <v>67.805000000000007</v>
        <stp/>
        <stp>52HIGH</stp>
        <stp>RAI</stp>
        <tr r="N389" s="1"/>
      </tp>
      <tp>
        <v>387.7</v>
        <stp/>
        <stp>BID</stp>
        <stp>REGN</stp>
        <tr r="F391" s="1"/>
      </tp>
      <tp>
        <v>11.414999999999999</v>
        <stp/>
        <stp>52LOW</stp>
        <stp>NWSA</stp>
        <tr r="O342" s="1"/>
      </tp>
      <tp t="s">
        <v>N/A</v>
        <stp/>
        <stp>BID</stp>
        <stp>BEAM</stp>
        <tr r="F61" s="1"/>
      </tp>
      <tp>
        <v>131.94999999999999</v>
        <stp/>
        <stp>HIGH</stp>
        <stp>ECL</stp>
        <tr r="L156" s="1"/>
      </tp>
      <tp>
        <v>21.68</v>
        <stp/>
        <stp>52HIGH</stp>
        <stp>RDC</stp>
        <tr r="N390" s="1"/>
      </tp>
      <tp>
        <v>64.92</v>
        <stp/>
        <stp>Last</stp>
        <stp>PAYX</stp>
        <tr r="B350" s="1"/>
      </tp>
      <tp>
        <v>66</v>
        <stp/>
        <stp>LOW</stp>
        <stp>QCOM</stp>
        <tr r="M386" s="1"/>
      </tp>
      <tp>
        <v>1727.34</v>
        <stp/>
        <stp>LOW</stp>
        <stp>PCLN</stp>
        <tr r="M356" s="1"/>
      </tp>
      <tp>
        <v>41.36</v>
        <stp/>
        <stp>HIGH</stp>
        <stp>EXC</stp>
        <tr r="L173" s="1"/>
      </tp>
      <tp>
        <v>90.64</v>
        <stp/>
        <stp>LOW</stp>
        <stp>MCHP</stp>
        <tr r="M295" s="1"/>
      </tp>
      <tp>
        <v>44.18</v>
        <stp/>
        <stp>LOW</stp>
        <stp>SCHW</stp>
        <tr r="M406" s="1"/>
      </tp>
      <tp t="s">
        <v>instrument=YHOO</v>
        <stp/>
        <stp>QUOTE_TREND</stp>
        <stp>YHOO</stp>
        <tr r="D500" s="1"/>
      </tp>
      <tp t="s">
        <v>N/A</v>
        <stp/>
        <stp>BID</stp>
        <stp>PETM</stp>
        <tr r="F361" s="1"/>
      </tp>
      <tp>
        <v>76</v>
        <stp/>
        <stp>HIGH</stp>
        <stp>ETN</stp>
        <tr r="L170" s="1"/>
      </tp>
      <tp>
        <v>87.22</v>
        <stp/>
        <stp>HIGH</stp>
        <stp>ETR</stp>
        <tr r="L171" s="1"/>
      </tp>
      <tp>
        <v>67.180000000000007</v>
        <stp/>
        <stp>52HIGH</stp>
        <stp>RSG</stp>
        <tr r="N400" s="1"/>
      </tp>
      <tp>
        <v>39.64</v>
        <stp/>
        <stp>52HIGH</stp>
        <stp>RRC</stp>
        <tr r="N399" s="1"/>
      </tp>
      <tp>
        <v>0</v>
        <stp/>
        <stp>LOW</stp>
        <stp>HCBK</stp>
        <tr r="M216" s="1"/>
      </tp>
      <tp>
        <v>5.5552000000000001</v>
        <stp/>
        <stp>HIGH</stp>
        <stp>ESV</stp>
        <tr r="L168" s="1"/>
      </tp>
      <tp>
        <v>190.25</v>
        <stp/>
        <stp>52HIGH</stp>
        <stp>RTN</stp>
        <tr r="N401" s="1"/>
      </tp>
      <tp>
        <v>69.3</v>
        <stp/>
        <stp>HIGH</stp>
        <stp>EQR</stp>
        <tr r="L165" s="1"/>
      </tp>
      <tp>
        <v>59.7</v>
        <stp/>
        <stp>HIGH</stp>
        <stp>EQT</stp>
        <tr r="L166" s="1"/>
      </tp>
      <tp>
        <v>63.84</v>
        <stp/>
        <stp>BID</stp>
        <stp>CERN</stp>
        <tr r="F91" s="1"/>
      </tp>
      <tp>
        <v>66.330100000000002</v>
        <stp/>
        <stp>LOW</stp>
        <stp>PCAR</stp>
        <tr r="M353" s="1"/>
      </tp>
      <tp>
        <v>6200806</v>
        <stp/>
        <stp>VOLUME</stp>
        <stp>NBR</stp>
        <tr r="J323" s="1"/>
      </tp>
      <tp>
        <v>4015860</v>
        <stp/>
        <stp>VOLUME</stp>
        <stp>NBL</stp>
        <tr r="J322" s="1"/>
      </tp>
      <tp>
        <v>3137696</v>
        <stp/>
        <stp>VOLUME</stp>
        <stp>NEM</stp>
        <tr r="J327" s="1"/>
      </tp>
      <tp>
        <v>1076421</v>
        <stp/>
        <stp>VOLUME</stp>
        <stp>NEE</stp>
        <tr r="J326" s="1"/>
      </tp>
      <tp>
        <v>1814385</v>
        <stp/>
        <stp>VOLUME</stp>
        <stp>NFX</stp>
        <tr r="J329" s="1"/>
      </tp>
      <tp t="s">
        <v>Range Bound</v>
        <stp/>
        <stp>STRENGTH_METER</stp>
        <stp>JWN</stp>
        <tr r="C257" s="1"/>
      </tp>
      <tp>
        <v>15378320</v>
        <stp/>
        <stp>VOLUME</stp>
        <stp>NKE</stp>
        <tr r="J331" s="1"/>
      </tp>
      <tp t="s">
        <v>Range Bound</v>
        <stp/>
        <stp>STRENGTH_METER</stp>
        <stp>JPM</stp>
        <tr r="C256" s="1"/>
      </tp>
      <tp>
        <v>2838565</v>
        <stp/>
        <stp>VOLUME</stp>
        <stp>NOV</stp>
        <tr r="J333" s="1"/>
      </tp>
      <tp>
        <v>457226</v>
        <stp/>
        <stp>VOLUME</stp>
        <stp>NOC</stp>
        <tr r="J332" s="1"/>
      </tp>
      <tp t="s">
        <v>Range Bound</v>
        <stp/>
        <stp>STRENGTH_METER</stp>
        <stp>JNJ</stp>
        <tr r="C253" s="1"/>
      </tp>
      <tp>
        <v>3057822</v>
        <stp/>
        <stp>VOLUME</stp>
        <stp>NRG</stp>
        <tr r="J334" s="1"/>
      </tp>
      <tp t="s">
        <v>Range Bound</v>
        <stp/>
        <stp>STRENGTH_METER</stp>
        <stp>JOY</stp>
        <tr r="C255" s="1"/>
      </tp>
      <tp>
        <v>1205958</v>
        <stp/>
        <stp>VOLUME</stp>
        <stp>NSC</stp>
        <tr r="J335" s="1"/>
      </tp>
      <tp>
        <v>1305666</v>
        <stp/>
        <stp>VOLUME</stp>
        <stp>NUE</stp>
        <tr r="J339" s="1"/>
      </tp>
      <tp>
        <v>5642086</v>
        <stp/>
        <stp>VOLUME</stp>
        <stp>NWL</stp>
        <tr r="J341" s="1"/>
      </tp>
      <tp t="s">
        <v>N/A</v>
        <stp/>
        <stp>VOLUME</stp>
        <stp>NYX</stp>
        <tr r="J343" s="1"/>
      </tp>
      <tp t="s">
        <v>Range Bound</v>
        <stp/>
        <stp>STRENGTH_METER</stp>
        <stp>JEC</stp>
        <tr r="C252" s="1"/>
      </tp>
      <tp t="s">
        <v>Range Bound</v>
        <stp/>
        <stp>STRENGTH_METER</stp>
        <stp>JBL</stp>
        <tr r="C248" s="1"/>
      </tp>
      <tp t="s">
        <v>Downtrend</v>
        <stp/>
        <stp>STRENGTH_METER</stp>
        <stp>JCP</stp>
        <tr r="C250" s="1"/>
      </tp>
      <tp t="s">
        <v>Downtrend</v>
        <stp/>
        <stp>STRENGTH_METER</stp>
        <stp>JCI</stp>
        <tr r="C249" s="1"/>
      </tp>
      <tp t="s">
        <v>Downtrend</v>
        <stp/>
        <stp>STRENGTH_METER</stp>
        <stp>S</stp>
        <tr r="C402" s="1"/>
      </tp>
      <tp t="s">
        <v>Range Bound</v>
        <stp/>
        <stp>STRENGTH_METER</stp>
        <stp>R</stp>
        <tr r="C388" s="1"/>
      </tp>
      <tp t="s">
        <v>Range Bound</v>
        <stp/>
        <stp>STRENGTH_METER</stp>
        <stp>T</stp>
        <tr r="C433" s="1"/>
      </tp>
      <tp t="s">
        <v>Range Bound</v>
        <stp/>
        <stp>STRENGTH_METER</stp>
        <stp>V</stp>
        <tr r="C464" s="1"/>
      </tp>
      <tp t="s">
        <v>Range Bound</v>
        <stp/>
        <stp>STRENGTH_METER</stp>
        <stp>X</stp>
        <tr r="C492" s="1"/>
      </tp>
      <tp t="s">
        <v>Range Bound</v>
        <stp/>
        <stp>STRENGTH_METER</stp>
        <stp>A</stp>
        <tr r="C4" s="1"/>
      </tp>
      <tp t="s">
        <v>Range Bound</v>
        <stp/>
        <stp>STRENGTH_METER</stp>
        <stp>C</stp>
        <tr r="C78" s="1"/>
      </tp>
      <tp t="s">
        <v>Range Bound</v>
        <stp/>
        <stp>STRENGTH_METER</stp>
        <stp>D</stp>
        <tr r="C128" s="1"/>
      </tp>
      <tp t="s">
        <v>Range Bound</v>
        <stp/>
        <stp>STRENGTH_METER</stp>
        <stp>F</stp>
        <tr r="C176" s="1"/>
      </tp>
      <tp t="s">
        <v>Range Bound</v>
        <stp/>
        <stp>STRENGTH_METER</stp>
        <stp>K</stp>
        <tr r="C258" s="1"/>
      </tp>
      <tp t="s">
        <v>Range Bound</v>
        <stp/>
        <stp>STRENGTH_METER</stp>
        <stp>M</stp>
        <tr r="C288" s="1"/>
      </tp>
      <tp t="s">
        <v>Range Bound</v>
        <stp/>
        <stp>STRENGTH_METER</stp>
        <stp>L</stp>
        <tr r="C269" s="1"/>
      </tp>
      <tp>
        <v>82.5</v>
        <stp/>
        <stp>ASK</stp>
        <stp>FDO</stp>
        <tr r="G179" s="1"/>
      </tp>
      <tp>
        <v>219.52</v>
        <stp/>
        <stp>ASK</stp>
        <stp>FDX</stp>
        <tr r="G180" s="1"/>
      </tp>
      <tp>
        <v>-7.41</v>
        <stp/>
        <stp>NET_CHANGE</stp>
        <stp>AMZN</stp>
        <tr r="E37" s="1"/>
      </tp>
      <tp>
        <v>41.16</v>
        <stp/>
        <stp>BID</stp>
        <stp>EXC</stp>
        <tr r="F173" s="1"/>
      </tp>
      <tp t="s">
        <v>instrument=VTR</v>
        <stp/>
        <stp>QUOTE_TREND</stp>
        <stp>VTR</stp>
        <tr r="D472" s="1"/>
      </tp>
      <tp>
        <v>13.86</v>
        <stp/>
        <stp>ASK</stp>
        <stp>FCX</stp>
        <tr r="G178" s="1"/>
      </tp>
      <tp>
        <v>47.93</v>
        <stp/>
        <stp>ASK</stp>
        <stp>FLR</stp>
        <tr r="G188" s="1"/>
      </tp>
      <tp>
        <v>40.299999999999997</v>
        <stp/>
        <stp>ASK</stp>
        <stp>FLS</stp>
        <tr r="G189" s="1"/>
      </tp>
      <tp>
        <v>93.3</v>
        <stp/>
        <stp>ASK</stp>
        <stp>FMC</stp>
        <tr r="G190" s="1"/>
      </tp>
      <tp>
        <v>72.61</v>
        <stp/>
        <stp>BID</stp>
        <stp>ETN</stp>
        <tr r="F170" s="1"/>
      </tp>
      <tp>
        <v>79.11</v>
        <stp/>
        <stp>BID</stp>
        <stp>ETR</stp>
        <tr r="F171" s="1"/>
      </tp>
      <tp>
        <v>42.81</v>
        <stp/>
        <stp>LOW</stp>
        <stp>KSS</stp>
        <tr r="M268" s="1"/>
      </tp>
      <tp>
        <v>20.5</v>
        <stp/>
        <stp>ASK</stp>
        <stp>FHN</stp>
        <tr r="G183" s="1"/>
      </tp>
      <tp>
        <v>92.08</v>
        <stp/>
        <stp>ASK</stp>
        <stp>FIS</stp>
        <tr r="G184" s="1"/>
      </tp>
      <tp>
        <v>5.44</v>
        <stp/>
        <stp>BID</stp>
        <stp>ESV</stp>
        <tr r="F168" s="1"/>
      </tp>
      <tp>
        <v>47.94</v>
        <stp/>
        <stp>BID</stp>
        <stp>EQT</stp>
        <tr r="F166" s="1"/>
      </tp>
      <tp>
        <v>43</v>
        <stp/>
        <stp>BID</stp>
        <stp>EQR</stp>
        <tr r="F165" s="1"/>
      </tp>
      <tp>
        <v>30.5</v>
        <stp/>
        <stp>ASK</stp>
        <stp>FTI</stp>
        <tr r="G194" s="1"/>
      </tp>
      <tp>
        <v>6.99</v>
        <stp/>
        <stp>ASK</stp>
        <stp>FTR</stp>
        <tr r="G195" s="1"/>
      </tp>
      <tp>
        <v>100.63</v>
        <stp/>
        <stp>BID</stp>
        <stp>EOG</stp>
        <tr r="F164" s="1"/>
      </tp>
      <tp>
        <v>19.29</v>
        <stp/>
        <stp>LOW</stp>
        <stp>KIM</stp>
        <tr r="M260" s="1"/>
      </tp>
      <tp t="s">
        <v>instrument=VAR</v>
        <stp/>
        <stp>QUOTE_TREND</stp>
        <stp>VAR</stp>
        <tr r="D465" s="1"/>
      </tp>
      <tp>
        <v>85</v>
        <stp/>
        <stp>BID</stp>
        <stp>EMN</stp>
        <tr r="F162" s="1"/>
      </tp>
      <tp>
        <v>29.03</v>
        <stp/>
        <stp>BID</stp>
        <stp>EMC</stp>
        <tr r="F161" s="1"/>
      </tp>
      <tp>
        <v>59.7</v>
        <stp/>
        <stp>BID</stp>
        <stp>EMR</stp>
        <tr r="F163" s="1"/>
      </tp>
      <tp>
        <v>68.66</v>
        <stp/>
        <stp>LOW</stp>
        <stp>KMX</stp>
        <tr r="M264" s="1"/>
      </tp>
      <tp t="s">
        <v>instrument=VFC</v>
        <stp/>
        <stp>QUOTE_TREND</stp>
        <stp>VFC</stp>
        <tr r="D466" s="1"/>
      </tp>
      <tp>
        <v>16.7</v>
        <stp/>
        <stp>LOW</stp>
        <stp>KMI</stp>
        <tr r="M263" s="1"/>
      </tp>
      <tp>
        <v>113.87</v>
        <stp/>
        <stp>LOW</stp>
        <stp>KMB</stp>
        <tr r="M262" s="1"/>
      </tp>
      <tp t="s">
        <v>N/A</v>
        <stp/>
        <stp>ASK</stp>
        <stp>FRX</stp>
        <tr r="G192" s="1"/>
      </tp>
      <tp>
        <v>80.760000000000005</v>
        <stp/>
        <stp>BID</stp>
        <stp>EIX</stp>
        <tr r="F159" s="1"/>
      </tp>
      <tp>
        <v>110.43</v>
        <stp/>
        <stp>BID</stp>
        <stp>EFX</stp>
        <tr r="F158" s="1"/>
      </tp>
      <tp>
        <v>-0.77</v>
        <stp/>
        <stp>NET_CHANGE</stp>
        <stp>AMGN</stp>
        <tr r="E34" s="1"/>
      </tp>
      <tp>
        <v>129</v>
        <stp/>
        <stp>BID</stp>
        <stp>ECL</stp>
        <tr r="F156" s="1"/>
      </tp>
      <tp>
        <v>18</v>
        <stp/>
        <stp>LOW</stp>
        <stp>KEY</stp>
        <tr r="M259" s="1"/>
      </tp>
      <tp t="s">
        <v>instrument=VNO</v>
        <stp/>
        <stp>QUOTE_TREND</stp>
        <stp>VNO</stp>
        <tr r="D470" s="1"/>
      </tp>
      <tp t="s">
        <v>instrument=VMC</v>
        <stp/>
        <stp>QUOTE_TREND</stp>
        <stp>VMC</stp>
        <tr r="D469" s="1"/>
      </tp>
      <tp>
        <v>-1.35</v>
        <stp/>
        <stp>NET_CHANGE</stp>
        <stp>AMAT</stp>
        <tr r="E32" s="1"/>
      </tp>
      <tp t="s">
        <v>instrument=VLO</v>
        <stp/>
        <stp>QUOTE_TREND</stp>
        <stp>VLO</stp>
        <tr r="D468" s="1"/>
      </tp>
      <tp>
        <v>479.25</v>
        <stp/>
        <stp>HIGH</stp>
        <stp>BLK</stp>
        <tr r="L67" s="1"/>
      </tp>
      <tp>
        <v>40.5</v>
        <stp/>
        <stp>HIGH</stp>
        <stp>BLL</stp>
        <tr r="L68" s="1"/>
      </tp>
      <tp t="s">
        <v>N/A</v>
        <stp/>
        <stp>HIGH</stp>
        <stp>BMC</stp>
        <tr r="L69" s="1"/>
      </tp>
      <tp>
        <v>61.895000000000003</v>
        <stp/>
        <stp>HIGH</stp>
        <stp>BMY</stp>
        <tr r="L71" s="1"/>
      </tp>
      <tp>
        <v>46.16</v>
        <stp/>
        <stp>HIGH</stp>
        <stp>BMS</stp>
        <tr r="L70" s="1"/>
      </tp>
      <tp t="s">
        <v>instrument=FOSL</v>
        <stp/>
        <stp>QUOTE_TREND</stp>
        <stp>FOSL</stp>
        <tr r="D191" s="1"/>
      </tp>
      <tp t="s">
        <v>instrument=COST</v>
        <stp/>
        <stp>QUOTE_TREND</stp>
        <stp>COST</stp>
        <tr r="D114" s="1"/>
      </tp>
      <tp t="s">
        <v>instrument=ROST</v>
        <stp/>
        <stp>QUOTE_TREND</stp>
        <stp>ROST</stp>
        <tr r="D398" s="1"/>
      </tp>
      <tp>
        <v>0</v>
        <stp/>
        <stp>HIGH</stp>
        <stp>BHI</stp>
        <tr r="L64" s="1"/>
      </tp>
      <tp>
        <v>53.61</v>
        <stp/>
        <stp>52HIGH</stp>
        <stp>UNM</stp>
        <tr r="N458" s="1"/>
      </tp>
      <tp>
        <v>213.93</v>
        <stp/>
        <stp>52HIGH</stp>
        <stp>UNH</stp>
        <tr r="N457" s="1"/>
      </tp>
      <tp>
        <v>119.71</v>
        <stp/>
        <stp>52HIGH</stp>
        <stp>UNP</stp>
        <tr r="N459" s="1"/>
      </tp>
      <tp>
        <v>221.42</v>
        <stp/>
        <stp>HIGH</stp>
        <stp>BDX</stp>
        <tr r="L60" s="1"/>
      </tp>
      <tp>
        <v>40.71</v>
        <stp/>
        <stp>HIGH</stp>
        <stp>BEN</stp>
        <tr r="L62" s="1"/>
      </tp>
      <tp>
        <v>55.99</v>
        <stp/>
        <stp>HIGH</stp>
        <stp>BBY</stp>
        <tr r="L58" s="1"/>
      </tp>
      <tp>
        <v>47.034999999999997</v>
        <stp/>
        <stp>HIGH</stp>
        <stp>BBT</stp>
        <tr r="L57" s="1"/>
      </tp>
      <tp>
        <v>13.5</v>
        <stp/>
        <stp>BID</stp>
        <stp>HBAN</stp>
        <tr r="F215" s="1"/>
      </tp>
      <tp>
        <v>35.520000000000003</v>
        <stp/>
        <stp>BID</stp>
        <stp>EBAY</stp>
        <tr r="F155" s="1"/>
      </tp>
      <tp>
        <v>333.84500000000003</v>
        <stp/>
        <stp>HIGH</stp>
        <stp>BCR</stp>
        <tr r="L59" s="1"/>
      </tp>
      <tp>
        <v>125.87</v>
        <stp/>
        <stp>LOW</stp>
        <stp>ADSK</stp>
        <tr r="M17" s="1"/>
      </tp>
      <tp>
        <v>0</v>
        <stp/>
        <stp>LOW</stp>
        <stp>JDSU</stp>
        <tr r="M251" s="1"/>
      </tp>
      <tp>
        <v>17.73</v>
        <stp/>
        <stp>BID</stp>
        <stp>PBCT</stp>
        <tr r="F351" s="1"/>
      </tp>
      <tp>
        <v>26.73</v>
        <stp/>
        <stp>HIGH</stp>
        <stp>BAC</stp>
        <tr r="L54" s="1"/>
      </tp>
      <tp>
        <v>64.87</v>
        <stp/>
        <stp>HIGH</stp>
        <stp>BAX</stp>
        <tr r="L55" s="1"/>
      </tp>
      <tp>
        <v>92</v>
        <stp/>
        <stp>BID</stp>
        <stp>ABBV</stp>
        <tr r="F7" s="1"/>
      </tp>
      <tp>
        <v>20.399999999999999</v>
        <stp/>
        <stp>BID</stp>
        <stp>BBBY</stp>
        <tr r="F56" s="1"/>
      </tp>
      <tp>
        <v>123.96</v>
        <stp/>
        <stp>ASK</stp>
        <stp>EXPE</stp>
        <tr r="G175" s="1"/>
      </tp>
      <tp>
        <v>59.19</v>
        <stp/>
        <stp>ASK</stp>
        <stp>EXPD</stp>
        <tr r="G174" s="1"/>
      </tp>
      <tp>
        <v>42.15</v>
        <stp/>
        <stp>LOW</stp>
        <stp>MDLZ</stp>
        <tr r="M298" s="1"/>
      </tp>
      <tp t="s">
        <v>N/A</v>
        <stp/>
        <stp>52LOW</stp>
        <stp>SPLS</stp>
        <tr r="O419" s="1"/>
      </tp>
      <tp>
        <v>125.49</v>
        <stp/>
        <stp>HIGH</stp>
        <stp>BXP</stp>
        <tr r="L77" s="1"/>
      </tp>
      <tp t="s">
        <v>N/A</v>
        <stp/>
        <stp>52LOW</stp>
        <stp>APOL</stp>
        <tr r="O45" s="1"/>
      </tp>
      <tp>
        <v>56.83</v>
        <stp/>
        <stp>BID</stp>
        <stp>SBUX</stp>
        <tr r="F404" s="1"/>
      </tp>
      <tp>
        <v>52.15</v>
        <stp/>
        <stp>HIGH</stp>
        <stp>BWA</stp>
        <tr r="L76" s="1"/>
      </tp>
      <tp>
        <v>121.75</v>
        <stp/>
        <stp>52HIGH</stp>
        <stp>UPS</stp>
        <tr r="N460" s="1"/>
      </tp>
      <tp t="s">
        <v>instrument=GOOG</v>
        <stp/>
        <stp>QUOTE_TREND</stp>
        <stp>GOOG</stp>
        <tr r="D205" s="1"/>
      </tp>
      <tp>
        <v>193.2</v>
        <stp/>
        <stp>Last</stp>
        <stp>NFLX</stp>
        <tr r="B328" s="1"/>
      </tp>
      <tp>
        <v>31.594999999999999</v>
        <stp/>
        <stp>HIGH</stp>
        <stp>BTU</stp>
        <tr r="L75" s="1"/>
      </tp>
      <tp>
        <v>56.61</v>
        <stp/>
        <stp>52HIGH</stp>
        <stp>USB</stp>
        <tr r="N462" s="1"/>
      </tp>
      <tp t="s">
        <v>instrument=MOLX</v>
        <stp/>
        <stp>QUOTE_TREND</stp>
        <stp>MOLX</stp>
        <tr r="D308" s="1"/>
      </tp>
      <tp>
        <v>181.13499999999999</v>
        <stp/>
        <stp>LOW</stp>
        <stp>ADBE</stp>
        <tr r="M13" s="1"/>
      </tp>
      <tp>
        <v>28.37</v>
        <stp/>
        <stp>HIGH</stp>
        <stp>BSX</stp>
        <tr r="L74" s="1"/>
      </tp>
      <tp>
        <v>124.7899</v>
        <stp/>
        <stp>52HIGH</stp>
        <stp>UTX</stp>
        <tr r="N463" s="1"/>
      </tp>
      <tp>
        <v>35.619999999999997</v>
        <stp/>
        <stp>LOW</stp>
        <stp>PDCO</stp>
        <tr r="M358" s="1"/>
      </tp>
      <tp>
        <v>123.58</v>
        <stp/>
        <stp>Last</stp>
        <stp>FFIV</stp>
        <tr r="B182" s="1"/>
      </tp>
      <tp>
        <v>75.757499999999993</v>
        <stp/>
        <stp>LOW</stp>
        <stp>NDAQ</stp>
        <tr r="M324" s="1"/>
      </tp>
      <tp>
        <v>4867073</v>
        <stp/>
        <stp>VOLUME</stp>
        <stp>IBM</stp>
        <tr r="J235" s="1"/>
      </tp>
      <tp>
        <v>2809872</v>
        <stp/>
        <stp>VOLUME</stp>
        <stp>ICE</stp>
        <tr r="J236" s="1"/>
      </tp>
      <tp t="s">
        <v>Range Bound</v>
        <stp/>
        <stp>STRENGTH_METER</stp>
        <stp>MYL</stp>
        <tr r="C321" s="1"/>
      </tp>
      <tp>
        <v>208130</v>
        <stp/>
        <stp>VOLUME</stp>
        <stp>IFF</stp>
        <tr r="J237" s="1"/>
      </tp>
      <tp>
        <v>2087834</v>
        <stp/>
        <stp>VOLUME</stp>
        <stp>IGT</stp>
        <tr r="J238" s="1"/>
      </tp>
      <tp t="s">
        <v>Range Bound</v>
        <stp/>
        <stp>STRENGTH_METER</stp>
        <stp>MTB</stp>
        <tr r="C317" s="1"/>
      </tp>
      <tp t="s">
        <v>Uptrend</v>
        <stp/>
        <stp>STRENGTH_METER</stp>
        <stp>MUR</stp>
        <tr r="C319" s="1"/>
      </tp>
      <tp t="s">
        <v>N/A</v>
        <stp/>
        <stp>STRENGTH_METER</stp>
        <stp>MWV</stp>
        <tr r="C320" s="1"/>
      </tp>
      <tp t="s">
        <v>Uptrend</v>
        <stp/>
        <stp>STRENGTH_METER</stp>
        <stp>MPC</stp>
        <tr r="C311" s="1"/>
      </tp>
      <tp t="s">
        <v>Downtrend</v>
        <stp/>
        <stp>STRENGTH_METER</stp>
        <stp>MRK</stp>
        <tr r="C312" s="1"/>
      </tp>
      <tp t="s">
        <v>Uptrend</v>
        <stp/>
        <stp>STRENGTH_METER</stp>
        <stp>MRO</stp>
        <tr r="C313" s="1"/>
      </tp>
      <tp t="s">
        <v>Range Bound</v>
        <stp/>
        <stp>STRENGTH_METER</stp>
        <stp>MSI</stp>
        <tr r="C316" s="1"/>
      </tp>
      <tp>
        <v>4969922</v>
        <stp/>
        <stp>VOLUME</stp>
        <stp>IPG</stp>
        <tr r="J242" s="1"/>
      </tp>
      <tp t="s">
        <v>Range Bound</v>
        <stp/>
        <stp>STRENGTH_METER</stp>
        <stp>MMM</stp>
        <tr r="C305" s="1"/>
      </tp>
      <tp t="s">
        <v>Range Bound</v>
        <stp/>
        <stp>STRENGTH_METER</stp>
        <stp>MMC</stp>
        <tr r="C304" s="1"/>
      </tp>
      <tp>
        <v>1324901</v>
        <stp/>
        <stp>VOLUME</stp>
        <stp>IRM</stp>
        <tr r="J244" s="1"/>
      </tp>
      <tp t="s">
        <v>Range Bound</v>
        <stp/>
        <stp>STRENGTH_METER</stp>
        <stp>MOS</stp>
        <tr r="C310" s="1"/>
      </tp>
      <tp t="s">
        <v>Range Bound</v>
        <stp/>
        <stp>STRENGTH_METER</stp>
        <stp>MON</stp>
        <tr r="C309" s="1"/>
      </tp>
      <tp>
        <v>791998</v>
        <stp/>
        <stp>VOLUME</stp>
        <stp>ITW</stp>
        <tr r="J246" s="1"/>
      </tp>
      <tp t="s">
        <v>N/A</v>
        <stp/>
        <stp>STRENGTH_METER</stp>
        <stp>MHP</stp>
        <tr r="C301" s="1"/>
      </tp>
      <tp>
        <v>2888351</v>
        <stp/>
        <stp>VOLUME</stp>
        <stp>IVZ</stp>
        <tr r="J247" s="1"/>
      </tp>
      <tp t="s">
        <v>N/A</v>
        <stp/>
        <stp>STRENGTH_METER</stp>
        <stp>MJN</stp>
        <tr r="C302" s="1"/>
      </tp>
      <tp t="s">
        <v>Range Bound</v>
        <stp/>
        <stp>STRENGTH_METER</stp>
        <stp>MKC</stp>
        <tr r="C303" s="1"/>
      </tp>
      <tp t="s">
        <v>Range Bound</v>
        <stp/>
        <stp>STRENGTH_METER</stp>
        <stp>MDT</stp>
        <tr r="C299" s="1"/>
      </tp>
      <tp t="s">
        <v>Range Bound</v>
        <stp/>
        <stp>STRENGTH_METER</stp>
        <stp>MET</stp>
        <tr r="C300" s="1"/>
      </tp>
      <tp t="s">
        <v>N/A</v>
        <stp/>
        <stp>Last</stp>
        <stp>BF-B</stp>
        <tr r="B63" s="1"/>
      </tp>
      <tp t="s">
        <v>Range Bound</v>
        <stp/>
        <stp>STRENGTH_METER</stp>
        <stp>MAS</stp>
        <tr r="C292" s="1"/>
      </tp>
      <tp t="s">
        <v>Range Bound</v>
        <stp/>
        <stp>STRENGTH_METER</stp>
        <stp>MAR</stp>
        <tr r="C291" s="1"/>
      </tp>
      <tp t="s">
        <v>Uptrend</v>
        <stp/>
        <stp>STRENGTH_METER</stp>
        <stp>MAT</stp>
        <tr r="C293" s="1"/>
      </tp>
      <tp t="s">
        <v>Uptrend</v>
        <stp/>
        <stp>STRENGTH_METER</stp>
        <stp>MAC</stp>
        <tr r="C290" s="1"/>
      </tp>
      <tp t="s">
        <v>Range Bound</v>
        <stp/>
        <stp>STRENGTH_METER</stp>
        <stp>MCK</stp>
        <tr r="C296" s="1"/>
      </tp>
      <tp t="s">
        <v>Range Bound</v>
        <stp/>
        <stp>STRENGTH_METER</stp>
        <stp>MCO</stp>
        <tr r="C297" s="1"/>
      </tp>
      <tp t="s">
        <v>Range Bound</v>
        <stp/>
        <stp>STRENGTH_METER</stp>
        <stp>MCD</stp>
        <tr r="C294" s="1"/>
      </tp>
      <tp>
        <v>-0.91</v>
        <stp/>
        <stp>NET_CHANGE</stp>
        <stp>CMCSA</stp>
        <tr r="E102" s="1"/>
      </tp>
      <tp t="s">
        <v>instrument=WPX</v>
        <stp/>
        <stp>QUOTE_TREND</stp>
        <stp>WPX</stp>
        <tr r="D487" s="1"/>
      </tp>
      <tp t="s">
        <v>instrument=WPO</v>
        <stp/>
        <stp>QUOTE_TREND</stp>
        <stp>WPO</stp>
        <tr r="D486" s="1"/>
      </tp>
      <tp>
        <v>66</v>
        <stp/>
        <stp>ASK</stp>
        <stp>GAS</stp>
        <tr r="G196" s="1"/>
      </tp>
      <tp>
        <v>11.51</v>
        <stp/>
        <stp>ASK</stp>
        <stp>GCI</stp>
        <tr r="G197" s="1"/>
      </tp>
      <tp>
        <v>0.54</v>
        <stp/>
        <stp>NET_CHANGE</stp>
        <stp>ALXN</stp>
        <tr r="E31" s="1"/>
      </tp>
      <tp>
        <v>38.56</v>
        <stp/>
        <stp>BID</stp>
        <stp>DVN</stp>
        <tr r="F153" s="1"/>
      </tp>
      <tp>
        <v>53.7</v>
        <stp/>
        <stp>BID</stp>
        <stp>DVA</stp>
        <tr r="F152" s="1"/>
      </tp>
      <tp>
        <v>97.57</v>
        <stp/>
        <stp>LOW</stp>
        <stp>JPM</stp>
        <tr r="M256" s="1"/>
      </tp>
      <tp>
        <v>31.66</v>
        <stp/>
        <stp>ASK</stp>
        <stp>GLW</stp>
        <tr r="G202" s="1"/>
      </tp>
      <tp>
        <v>16.399999999999999</v>
        <stp/>
        <stp>ASK</stp>
        <stp>GME</stp>
        <tr r="G203" s="1"/>
      </tp>
      <tp>
        <v>78.38</v>
        <stp/>
        <stp>BID</stp>
        <stp>DTE</stp>
        <tr r="F149" s="1"/>
      </tp>
      <tp>
        <v>3.39</v>
        <stp/>
        <stp>ASK</stp>
        <stp>GNW</stp>
        <tr r="G204" s="1"/>
      </tp>
      <tp t="s">
        <v>instrument=WYN</v>
        <stp/>
        <stp>QUOTE_TREND</stp>
        <stp>WYN</stp>
        <tr r="D490" s="1"/>
      </tp>
      <tp>
        <v>54</v>
        <stp/>
        <stp>BID</stp>
        <stp>DTV</stp>
        <tr r="F150" s="1"/>
      </tp>
      <tp>
        <v>88.38</v>
        <stp/>
        <stp>BID</stp>
        <stp>DUK</stp>
        <tr r="F151" s="1"/>
      </tp>
      <tp>
        <v>-0.02</v>
        <stp/>
        <stp>NET_CHANGE</stp>
        <stp>DLTR</stp>
        <tr r="E141" s="1"/>
      </tp>
      <tp>
        <v>0.22</v>
        <stp/>
        <stp>NET_CHANGE</stp>
        <stp>ALTR</stp>
        <tr r="E30" s="1"/>
      </tp>
      <tp>
        <v>0</v>
        <stp/>
        <stp>NET_CHANGE</stp>
        <stp>LLTC</stp>
        <tr r="E275" s="1"/>
      </tp>
      <tp>
        <v>79.84</v>
        <stp/>
        <stp>BID</stp>
        <stp>DRI</stp>
        <tr r="F148" s="1"/>
      </tp>
      <tp>
        <v>53.78</v>
        <stp/>
        <stp>ASK</stp>
        <stp>GIS</stp>
        <tr r="G201" s="1"/>
      </tp>
      <tp>
        <v>87.3</v>
        <stp/>
        <stp>BID</stp>
        <stp>DPS</stp>
        <tr r="F147" s="1"/>
      </tp>
      <tp>
        <v>40.32</v>
        <stp/>
        <stp>LOW</stp>
        <stp>JWN</stp>
        <tr r="M257" s="1"/>
      </tp>
      <tp>
        <v>-0.54</v>
        <stp/>
        <stp>NET_CHANGE</stp>
        <stp>DLPH</stp>
        <tr r="E140" s="1"/>
      </tp>
      <tp>
        <v>112.38</v>
        <stp/>
        <stp>BID</stp>
        <stp>DNB</stp>
        <tr r="F142" s="1"/>
      </tp>
      <tp>
        <v>1.68</v>
        <stp/>
        <stp>BID</stp>
        <stp>DNR</stp>
        <tr r="F143" s="1"/>
      </tp>
      <tp>
        <v>66</v>
        <stp/>
        <stp>BID</stp>
        <stp>DOW</stp>
        <tr r="F146" s="1"/>
      </tp>
      <tp>
        <v>85.9</v>
        <stp/>
        <stp>BID</stp>
        <stp>DOV</stp>
        <tr r="F145" s="1"/>
      </tp>
      <tp>
        <v>-0.86</v>
        <stp/>
        <stp>NET_CHANGE</stp>
        <stp>XLNX</stp>
        <tr r="E495" s="1"/>
      </tp>
      <tp t="s">
        <v>instrument=WAT</v>
        <stp/>
        <stp>QUOTE_TREND</stp>
        <stp>WAT</stp>
        <tr r="D475" s="1"/>
      </tp>
      <tp t="s">
        <v>instrument=WAG</v>
        <stp/>
        <stp>QUOTE_TREND</stp>
        <stp>WAG</stp>
        <tr r="D474" s="1"/>
      </tp>
      <tp>
        <v>198.53</v>
        <stp/>
        <stp>ASK</stp>
        <stp>GWW</stp>
        <tr r="G211" s="1"/>
      </tp>
      <tp>
        <v>88.21</v>
        <stp/>
        <stp>ASK</stp>
        <stp>GPC</stp>
        <tr r="G206" s="1"/>
      </tp>
      <tp>
        <v>29.38</v>
        <stp/>
        <stp>ASK</stp>
        <stp>GPS</stp>
        <tr r="G207" s="1"/>
      </tp>
      <tp t="s">
        <v>instrument=WFC</v>
        <stp/>
        <stp>QUOTE_TREND</stp>
        <stp>WFC</stp>
        <tr r="D478" s="1"/>
      </tp>
      <tp t="s">
        <v>instrument=WFM</v>
        <stp/>
        <stp>QUOTE_TREND</stp>
        <stp>WFM</stp>
        <tr r="D479" s="1"/>
      </tp>
      <tp>
        <v>48.01</v>
        <stp/>
        <stp>BID</stp>
        <stp>DHI</stp>
        <tr r="F136" s="1"/>
      </tp>
      <tp>
        <v>137.88999999999999</v>
        <stp/>
        <stp>LOW</stp>
        <stp>JNJ</stp>
        <tr r="M253" s="1"/>
      </tp>
      <tp t="s">
        <v>instrument=WEC</v>
        <stp/>
        <stp>QUOTE_TREND</stp>
        <stp>WEC</stp>
        <tr r="D477" s="1"/>
      </tp>
      <tp>
        <v>84.79</v>
        <stp/>
        <stp>BID</stp>
        <stp>DHR</stp>
        <tr r="F137" s="1"/>
      </tp>
      <tp>
        <v>-0.95</v>
        <stp/>
        <stp>NET_CHANGE</stp>
        <stp>FLIR</stp>
        <tr r="E187" s="1"/>
      </tp>
      <tp>
        <v>0</v>
        <stp/>
        <stp>LOW</stp>
        <stp>JOY</stp>
        <tr r="M255" s="1"/>
      </tp>
      <tp t="s">
        <v>instrument=WDC</v>
        <stp/>
        <stp>QUOTE_TREND</stp>
        <stp>WDC</stp>
        <tr r="D476" s="1"/>
      </tp>
      <tp>
        <v>102.9</v>
        <stp/>
        <stp>BID</stp>
        <stp>DIS</stp>
        <tr r="F138" s="1"/>
      </tp>
      <tp>
        <v>64.5</v>
        <stp/>
        <stp>BID</stp>
        <stp>DFS</stp>
        <tr r="F133" s="1"/>
      </tp>
      <tp>
        <v>91.45</v>
        <stp/>
        <stp>BID</stp>
        <stp>DGX</stp>
        <tr r="F135" s="1"/>
      </tp>
      <tp>
        <v>28.94</v>
        <stp/>
        <stp>LOW</stp>
        <stp>JBL</stp>
        <tr r="M248" s="1"/>
      </tp>
      <tp t="s">
        <v>instrument=WIN</v>
        <stp/>
        <stp>QUOTE_TREND</stp>
        <stp>WIN</stp>
        <tr r="D481" s="1"/>
      </tp>
      <tp t="s">
        <v>instrument=WHR</v>
        <stp/>
        <stp>QUOTE_TREND</stp>
        <stp>WHR</stp>
        <tr r="D480" s="1"/>
      </tp>
      <tp>
        <v>3.18</v>
        <stp/>
        <stp>LOW</stp>
        <stp>JCP</stp>
        <tr r="M250" s="1"/>
      </tp>
      <tp>
        <v>35.729999999999997</v>
        <stp/>
        <stp>LOW</stp>
        <stp>JCI</stp>
        <tr r="M249" s="1"/>
      </tp>
      <tp>
        <v>58.23</v>
        <stp/>
        <stp>LOW</stp>
        <stp>JEC</stp>
        <tr r="M252" s="1"/>
      </tp>
      <tp t="s">
        <v>instrument=WMT</v>
        <stp/>
        <stp>QUOTE_TREND</stp>
        <stp>WMT</stp>
        <tr r="D485" s="1"/>
      </tp>
      <tp t="s">
        <v>instrument=WMB</v>
        <stp/>
        <stp>QUOTE_TREND</stp>
        <stp>WMB</stp>
        <tr r="D484" s="1"/>
      </tp>
      <tp>
        <v>-3.12</v>
        <stp/>
        <stp>NET_CHANGE</stp>
        <stp>KLAC</stp>
        <tr r="E261" s="1"/>
      </tp>
      <tp t="s">
        <v>instrument=WLP</v>
        <stp/>
        <stp>QUOTE_TREND</stp>
        <stp>WLP</stp>
        <tr r="D482" s="1"/>
      </tp>
      <tp>
        <v>123.58</v>
        <stp/>
        <stp>Mark</stp>
        <stp>FFIV</stp>
        <tr r="P182" s="1"/>
      </tp>
      <tp>
        <v>16.82</v>
        <stp/>
        <stp>HIGH</stp>
        <stp>CNX</stp>
        <tr r="L108" s="1"/>
      </tp>
      <tp>
        <v>29.164999999999999</v>
        <stp/>
        <stp>HIGH</stp>
        <stp>CNP</stp>
        <tr r="L107" s="1"/>
      </tp>
      <tp>
        <v>97.29</v>
        <stp/>
        <stp>52HIGH</stp>
        <stp>TIF</stp>
        <tr r="N442" s="1"/>
      </tp>
      <tp>
        <v>0</v>
        <stp/>
        <stp>HIGH</stp>
        <stp>COH</stp>
        <tr r="L111" s="1"/>
      </tp>
      <tp>
        <v>0</v>
        <stp/>
        <stp>OPEN</stp>
        <stp>ZMH</stp>
        <tr r="K503" s="1"/>
      </tp>
      <tp>
        <v>132.44999999999999</v>
        <stp/>
        <stp>HIGH</stp>
        <stp>COL</stp>
        <tr r="L112" s="1"/>
      </tp>
      <tp>
        <v>88.23</v>
        <stp/>
        <stp>HIGH</stp>
        <stp>COF</stp>
        <tr r="L109" s="1"/>
      </tp>
      <tp>
        <v>29.41</v>
        <stp/>
        <stp>HIGH</stp>
        <stp>COG</stp>
        <tr r="L110" s="1"/>
      </tp>
      <tp>
        <v>50.52</v>
        <stp/>
        <stp>HIGH</stp>
        <stp>COP</stp>
        <tr r="L113" s="1"/>
      </tp>
      <tp t="s">
        <v>N/A</v>
        <stp/>
        <stp>HIGH</stp>
        <stp>COV</stp>
        <tr r="L115" s="1"/>
      </tp>
      <tp>
        <v>22.72</v>
        <stp/>
        <stp>52HIGH</stp>
        <stp>THC</stp>
        <tr r="N441" s="1"/>
      </tp>
      <tp>
        <v>1732</v>
        <stp/>
        <stp>BID</stp>
        <stp>PCLN</stp>
        <tr r="F356" s="1"/>
      </tp>
      <tp>
        <v>6.18</v>
        <stp/>
        <stp>HIGH</stp>
        <stp>CLF</stp>
        <tr r="L99" s="1"/>
      </tp>
      <tp>
        <v>135.62</v>
        <stp/>
        <stp>HIGH</stp>
        <stp>CLX</stp>
        <tr r="L100" s="1"/>
      </tp>
      <tp t="s">
        <v>instrument=INTC</v>
        <stp/>
        <stp>QUOTE_TREND</stp>
        <stp>INTC</stp>
        <tr r="D239" s="1"/>
      </tp>
      <tp>
        <v>66.62</v>
        <stp/>
        <stp>BID</stp>
        <stp>QCOM</stp>
        <tr r="F386" s="1"/>
      </tp>
      <tp t="s">
        <v>instrument=INTU</v>
        <stp/>
        <stp>QUOTE_TREND</stp>
        <stp>INTU</stp>
        <tr r="D240" s="1"/>
      </tp>
      <tp>
        <v>163.96</v>
        <stp/>
        <stp>HIGH</stp>
        <stp>CMI</stp>
        <tr r="L105" s="1"/>
      </tp>
      <tp>
        <v>79.819999999999993</v>
        <stp/>
        <stp>HIGH</stp>
        <stp>CMA</stp>
        <tr r="L101" s="1"/>
      </tp>
      <tp>
        <v>291.51</v>
        <stp/>
        <stp>HIGH</stp>
        <stp>CMG</stp>
        <tr r="L104" s="1"/>
      </tp>
      <tp>
        <v>140.13</v>
        <stp/>
        <stp>HIGH</stp>
        <stp>CME</stp>
        <tr r="L103" s="1"/>
      </tp>
      <tp>
        <v>50.26</v>
        <stp/>
        <stp>HIGH</stp>
        <stp>CMS</stp>
        <tr r="L106" s="1"/>
      </tp>
      <tp>
        <v>80.92</v>
        <stp/>
        <stp>52HIGH</stp>
        <stp>TJX</stp>
        <tr r="N443" s="1"/>
      </tp>
      <tp>
        <v>201.2</v>
        <stp/>
        <stp>52HIGH</stp>
        <stp>TMO</stp>
        <tr r="N445" s="1"/>
      </tp>
      <tp>
        <v>86.5</v>
        <stp/>
        <stp>52HIGH</stp>
        <stp>TMK</stp>
        <tr r="N444" s="1"/>
      </tp>
      <tp>
        <v>193.2</v>
        <stp/>
        <stp>Mark</stp>
        <stp>NFLX</stp>
        <tr r="P328" s="1"/>
      </tp>
      <tp>
        <v>90.34</v>
        <stp/>
        <stp>BID</stp>
        <stp>MCHP</stp>
        <tr r="F295" s="1"/>
      </tp>
      <tp>
        <v>44.54</v>
        <stp/>
        <stp>BID</stp>
        <stp>SCHW</stp>
        <tr r="F406" s="1"/>
      </tp>
      <tp t="s">
        <v>instrument=MNST</v>
        <stp/>
        <stp>QUOTE_TREND</stp>
        <stp>MNST</stp>
        <tr r="D306" s="1"/>
      </tp>
      <tp>
        <v>4.05</v>
        <stp/>
        <stp>HIGH</stp>
        <stp>CHK</stp>
        <tr r="L94" s="1"/>
      </tp>
      <tp t="s">
        <v>instrument=JNPR</v>
        <stp/>
        <stp>QUOTE_TREND</stp>
        <stp>JNPR</stp>
        <tr r="D254" s="1"/>
      </tp>
      <tp t="s">
        <v>N/A</v>
        <stp/>
        <stp>HIGH</stp>
        <stp>CFN</stp>
        <tr r="L93" s="1"/>
      </tp>
      <tp>
        <v>102.14</v>
        <stp/>
        <stp>52HIGH</stp>
        <stp>TAP</stp>
        <tr r="N434" s="1"/>
      </tp>
      <tp t="s">
        <v>N/A</v>
        <stp/>
        <stp>LOW</stp>
        <stp>PETM</stp>
        <tr r="M361" s="1"/>
      </tp>
      <tp>
        <v>43.16</v>
        <stp/>
        <stp>HIGH</stp>
        <stp>CBG</stp>
        <tr r="L85" s="1"/>
      </tp>
      <tp>
        <v>57.25</v>
        <stp/>
        <stp>HIGH</stp>
        <stp>CBS</stp>
        <tr r="L86" s="1"/>
      </tp>
      <tp>
        <v>95.364999999999995</v>
        <stp/>
        <stp>52HIGH</stp>
        <stp>TEL</stp>
        <tr r="N438" s="1"/>
      </tp>
      <tp>
        <v>0</v>
        <stp/>
        <stp>52HIGH</stp>
        <stp>TEG</stp>
        <tr r="N437" s="1"/>
      </tp>
      <tp>
        <v>44.33</v>
        <stp/>
        <stp>52HIGH</stp>
        <stp>TER</stp>
        <tr r="N439" s="1"/>
      </tp>
      <tp>
        <v>152.49</v>
        <stp/>
        <stp>ASK</stp>
        <stp>WYNN</stp>
        <tr r="G491" s="1"/>
      </tp>
      <tp>
        <v>65.08</v>
        <stp/>
        <stp>LOW</stp>
        <stp>CERN</stp>
        <tr r="M91" s="1"/>
      </tp>
      <tp>
        <v>66.510000000000005</v>
        <stp/>
        <stp>BID</stp>
        <stp>PCAR</stp>
        <tr r="F353" s="1"/>
      </tp>
      <tp>
        <v>111.45</v>
        <stp/>
        <stp>HIGH</stp>
        <stp>CCI</stp>
        <tr r="L88" s="1"/>
      </tp>
      <tp>
        <v>66.31</v>
        <stp/>
        <stp>HIGH</stp>
        <stp>CCL</stp>
        <tr r="L89" s="1"/>
      </tp>
      <tp>
        <v>38.380000000000003</v>
        <stp/>
        <stp>HIGH</stp>
        <stp>CCE</stp>
        <tr r="L87" s="1"/>
      </tp>
      <tp>
        <v>38.08</v>
        <stp/>
        <stp>52HIGH</stp>
        <stp>TDC</stp>
        <tr r="N435" s="1"/>
      </tp>
      <tp>
        <v>79.329899999999995</v>
        <stp/>
        <stp>52HIGH</stp>
        <stp>TGT</stp>
        <tr r="N440" s="1"/>
      </tp>
      <tp>
        <v>58.01</v>
        <stp/>
        <stp>HIGH</stp>
        <stp>CAH</stp>
        <tr r="L81" s="1"/>
      </tp>
      <tp>
        <v>0</v>
        <stp/>
        <stp>HIGH</stp>
        <stp>CAM</stp>
        <tr r="L82" s="1"/>
      </tp>
      <tp>
        <v>36.1</v>
        <stp/>
        <stp>HIGH</stp>
        <stp>CAG</stp>
        <tr r="L80" s="1"/>
      </tp>
      <tp>
        <v>136.36000000000001</v>
        <stp/>
        <stp>HIGH</stp>
        <stp>CAT</stp>
        <tr r="L83" s="1"/>
      </tp>
      <tp>
        <v>28.07</v>
        <stp/>
        <stp>ASK</stp>
        <stp>SYMC</stp>
        <tr r="G431" s="1"/>
      </tp>
      <tp>
        <v>8.3699999999999992</v>
        <stp/>
        <stp>BID</stp>
        <stp>HCBK</stp>
        <tr r="F216" s="1"/>
      </tp>
      <tp>
        <v>48.361255999999997</v>
        <stp/>
        <stp>52HIGH</stp>
        <stp>TYC</stp>
        <tr r="N456" s="1"/>
      </tp>
      <tp>
        <v>99.05</v>
        <stp/>
        <stp>52HIGH</stp>
        <stp>TXN</stp>
        <tr r="N454" s="1"/>
      </tp>
      <tp>
        <v>55.8</v>
        <stp/>
        <stp>52HIGH</stp>
        <stp>TXT</stp>
        <tr r="N455" s="1"/>
      </tp>
      <tp t="s">
        <v>instrument=SNDK</v>
        <stp/>
        <stp>QUOTE_TREND</stp>
        <stp>SNDK</stp>
        <tr r="D415" s="1"/>
      </tp>
      <tp>
        <v>103.24</v>
        <stp/>
        <stp>LOW</stp>
        <stp>CELG</stp>
        <tr r="M90" s="1"/>
      </tp>
      <tp t="s">
        <v>N/A</v>
        <stp/>
        <stp>LOW</stp>
        <stp>DELL</stp>
        <tr r="M131" s="1"/>
      </tp>
      <tp>
        <v>0</v>
        <stp/>
        <stp>HIGH</stp>
        <stp>CVC</stp>
        <tr r="L125" s="1"/>
      </tp>
      <tp>
        <v>114.99</v>
        <stp/>
        <stp>HIGH</stp>
        <stp>CVX</stp>
        <tr r="L127" s="1"/>
      </tp>
      <tp>
        <v>71.03</v>
        <stp/>
        <stp>HIGH</stp>
        <stp>CVS</stp>
        <tr r="L126" s="1"/>
      </tp>
      <tp>
        <v>390.52</v>
        <stp/>
        <stp>LOW</stp>
        <stp>REGN</stp>
        <tr r="M391" s="1"/>
      </tp>
      <tp>
        <v>14.93</v>
        <stp/>
        <stp>HIGH</stp>
        <stp>CTL</stp>
        <tr r="L122" s="1"/>
      </tp>
      <tp>
        <v>99.76</v>
        <stp/>
        <stp>52HIGH</stp>
        <stp>TSO</stp>
        <tr r="N450" s="1"/>
      </tp>
      <tp>
        <v>77.739999999999995</v>
        <stp/>
        <stp>52HIGH</stp>
        <stp>TSN</stp>
        <tr r="N449" s="1"/>
      </tp>
      <tp>
        <v>74.44</v>
        <stp/>
        <stp>52HIGH</stp>
        <stp>TSS</stp>
        <tr r="N451" s="1"/>
      </tp>
      <tp>
        <v>135.71</v>
        <stp/>
        <stp>52HIGH</stp>
        <stp>TRV</stp>
        <tr r="N448" s="1"/>
      </tp>
      <tp>
        <v>107.87</v>
        <stp/>
        <stp>HIGH</stp>
        <stp>CRM</stp>
        <tr r="L117" s="1"/>
      </tp>
      <tp>
        <v>0</v>
        <stp/>
        <stp>HIGH</stp>
        <stp>CSC</stp>
        <tr r="L118" s="1"/>
      </tp>
      <tp>
        <v>50.07</v>
        <stp/>
        <stp>HIGH</stp>
        <stp>CSX</stp>
        <tr r="L120" s="1"/>
      </tp>
      <tp>
        <v>49.76</v>
        <stp/>
        <stp>HIGH</stp>
        <stp>CPB</stp>
        <tr r="L116" s="1"/>
      </tp>
      <tp>
        <v>0</v>
        <stp/>
        <stp>52HIGH</stp>
        <stp>TWC</stp>
        <tr r="N452" s="1"/>
      </tp>
      <tp>
        <v>103.9</v>
        <stp/>
        <stp>52HIGH</stp>
        <stp>TWX</stp>
        <tr r="N453" s="1"/>
      </tp>
      <tp t="s">
        <v>N/A</v>
        <stp/>
        <stp>LOW</stp>
        <stp>BEAM</stp>
        <tr r="M61" s="1"/>
      </tp>
      <tp>
        <v>1064694</v>
        <stp/>
        <stp>VOLUME</stp>
        <stp>HAS</stp>
        <tr r="J214" s="1"/>
      </tp>
      <tp>
        <v>0</v>
        <stp/>
        <stp>VOLUME</stp>
        <stp>HAR</stp>
        <tr r="J213" s="1"/>
      </tp>
      <tp>
        <v>5899890</v>
        <stp/>
        <stp>VOLUME</stp>
        <stp>HAL</stp>
        <tr r="J212" s="1"/>
      </tp>
      <tp>
        <v>2768423</v>
        <stp/>
        <stp>VOLUME</stp>
        <stp>HCP</stp>
        <tr r="J218" s="1"/>
      </tp>
      <tp>
        <v>1357857</v>
        <stp/>
        <stp>VOLUME</stp>
        <stp>HCN</stp>
        <tr r="J217" s="1"/>
      </tp>
      <tp>
        <v>0</v>
        <stp/>
        <stp>Mark</stp>
        <stp>BF-B</stp>
        <tr r="P63" s="1"/>
      </tp>
      <tp>
        <v>3948084</v>
        <stp/>
        <stp>VOLUME</stp>
        <stp>HES</stp>
        <tr r="J220" s="1"/>
      </tp>
      <tp t="s">
        <v>Range Bound</v>
        <stp/>
        <stp>STRENGTH_METER</stp>
        <stp>LYB</stp>
        <tr r="C287" s="1"/>
      </tp>
      <tp t="s">
        <v>N/A</v>
        <stp/>
        <stp>STRENGTH_METER</stp>
        <stp>LTD</stp>
        <tr r="C284" s="1"/>
      </tp>
      <tp t="s">
        <v>Range Bound</v>
        <stp/>
        <stp>STRENGTH_METER</stp>
        <stp>LUV</stp>
        <tr r="C286" s="1"/>
      </tp>
      <tp t="s">
        <v>Range Bound</v>
        <stp/>
        <stp>STRENGTH_METER</stp>
        <stp>LUK</stp>
        <tr r="C285" s="1"/>
      </tp>
      <tp>
        <v>1442278</v>
        <stp/>
        <stp>VOLUME</stp>
        <stp>HIG</stp>
        <tr r="J221" s="1"/>
      </tp>
      <tp t="s">
        <v>N/A</v>
        <stp/>
        <stp>VOLUME</stp>
        <stp>HNZ</stp>
        <tr r="J222" s="1"/>
      </tp>
      <tp>
        <v>0</v>
        <stp/>
        <stp>VOLUME</stp>
        <stp>HOT</stp>
        <tr r="J225" s="1"/>
      </tp>
      <tp t="s">
        <v>Range Bound</v>
        <stp/>
        <stp>STRENGTH_METER</stp>
        <stp>LSI</stp>
        <tr r="C283" s="1"/>
      </tp>
      <tp>
        <v>1633922</v>
        <stp/>
        <stp>VOLUME</stp>
        <stp>HON</stp>
        <tr r="J224" s="1"/>
      </tp>
      <tp>
        <v>3494363</v>
        <stp/>
        <stp>VOLUME</stp>
        <stp>HOG</stp>
        <tr r="J223" s="1"/>
      </tp>
      <tp t="s">
        <v>Range Bound</v>
        <stp/>
        <stp>STRENGTH_METER</stp>
        <stp>LLY</stp>
        <tr r="C276" s="1"/>
      </tp>
      <tp>
        <v>10633431</v>
        <stp/>
        <stp>VOLUME</stp>
        <stp>HPQ</stp>
        <tr r="J227" s="1"/>
      </tp>
      <tp t="s">
        <v>Range Bound</v>
        <stp/>
        <stp>STRENGTH_METER</stp>
        <stp>LLL</stp>
        <tr r="C274" s="1"/>
      </tp>
      <tp t="s">
        <v>Range Bound</v>
        <stp/>
        <stp>STRENGTH_METER</stp>
        <stp>LMT</stp>
        <tr r="C278" s="1"/>
      </tp>
      <tp>
        <v>610724</v>
        <stp/>
        <stp>VOLUME</stp>
        <stp>HRS</stp>
        <tr r="J230" s="1"/>
      </tp>
      <tp>
        <v>1986583</v>
        <stp/>
        <stp>VOLUME</stp>
        <stp>HRL</stp>
        <tr r="J229" s="1"/>
      </tp>
      <tp t="s">
        <v>Range Bound</v>
        <stp/>
        <stp>STRENGTH_METER</stp>
        <stp>LNC</stp>
        <tr r="C279" s="1"/>
      </tp>
      <tp>
        <v>3111131</v>
        <stp/>
        <stp>VOLUME</stp>
        <stp>HRB</stp>
        <tr r="J228" s="1"/>
      </tp>
      <tp>
        <v>1982732</v>
        <stp/>
        <stp>VOLUME</stp>
        <stp>HSY</stp>
        <tr r="J233" s="1"/>
      </tp>
      <tp>
        <v>4334365</v>
        <stp/>
        <stp>VOLUME</stp>
        <stp>HST</stp>
        <tr r="J232" s="1"/>
      </tp>
      <tp t="s">
        <v>Range Bound</v>
        <stp/>
        <stp>STRENGTH_METER</stp>
        <stp>LOW</stp>
        <tr r="C281" s="1"/>
      </tp>
      <tp>
        <v>0</v>
        <stp/>
        <stp>VOLUME</stp>
        <stp>HSP</stp>
        <tr r="J231" s="1"/>
      </tp>
      <tp>
        <v>1032470</v>
        <stp/>
        <stp>VOLUME</stp>
        <stp>HUM</stp>
        <tr r="J234" s="1"/>
      </tp>
      <tp t="s">
        <v>Range Bound</v>
        <stp/>
        <stp>STRENGTH_METER</stp>
        <stp>LEN</stp>
        <tr r="C271" s="1"/>
      </tp>
      <tp t="s">
        <v>Range Bound</v>
        <stp/>
        <stp>STRENGTH_METER</stp>
        <stp>LEG</stp>
        <tr r="C270" s="1"/>
      </tp>
      <tp>
        <v>36902652</v>
        <stp/>
        <stp>VOLUME</stp>
        <stp>T</stp>
        <tr r="J433" s="1"/>
      </tp>
      <tp>
        <v>8799781</v>
        <stp/>
        <stp>VOLUME</stp>
        <stp>V</stp>
        <tr r="J464" s="1"/>
      </tp>
      <tp>
        <v>8489130</v>
        <stp/>
        <stp>VOLUME</stp>
        <stp>S</stp>
        <tr r="J402" s="1"/>
      </tp>
      <tp>
        <v>1066565</v>
        <stp/>
        <stp>VOLUME</stp>
        <stp>R</stp>
        <tr r="J388" s="1"/>
      </tp>
      <tp>
        <v>7301780</v>
        <stp/>
        <stp>VOLUME</stp>
        <stp>X</stp>
        <tr r="J492" s="1"/>
      </tp>
      <tp>
        <v>1703379</v>
        <stp/>
        <stp>VOLUME</stp>
        <stp>D</stp>
        <tr r="J128" s="1"/>
      </tp>
      <tp>
        <v>31007891</v>
        <stp/>
        <stp>VOLUME</stp>
        <stp>F</stp>
        <tr r="J176" s="1"/>
      </tp>
      <tp>
        <v>1818392</v>
        <stp/>
        <stp>VOLUME</stp>
        <stp>A</stp>
        <tr r="J4" s="1"/>
      </tp>
      <tp>
        <v>11803179</v>
        <stp/>
        <stp>VOLUME</stp>
        <stp>C</stp>
        <tr r="J78" s="1"/>
      </tp>
      <tp>
        <v>13958388</v>
        <stp/>
        <stp>VOLUME</stp>
        <stp>M</stp>
        <tr r="J288" s="1"/>
      </tp>
      <tp>
        <v>1025499</v>
        <stp/>
        <stp>VOLUME</stp>
        <stp>L</stp>
        <tr r="J269" s="1"/>
      </tp>
      <tp>
        <v>4609844</v>
        <stp/>
        <stp>VOLUME</stp>
        <stp>K</stp>
        <tr r="J258" s="1"/>
      </tp>
      <tp t="s">
        <v>instrument=TSS</v>
        <stp/>
        <stp>QUOTE_TREND</stp>
        <stp>TSS</stp>
        <tr r="D451" s="1"/>
      </tp>
      <tp t="s">
        <v>instrument=TSN</v>
        <stp/>
        <stp>QUOTE_TREND</stp>
        <stp>TSN</stp>
        <tr r="D449" s="1"/>
      </tp>
      <tp t="s">
        <v>instrument=TSO</v>
        <stp/>
        <stp>QUOTE_TREND</stp>
        <stp>TSO</stp>
        <tr r="D450" s="1"/>
      </tp>
      <tp t="s">
        <v>instrument=TRV</v>
        <stp/>
        <stp>QUOTE_TREND</stp>
        <stp>TRV</stp>
        <tr r="D448" s="1"/>
      </tp>
      <tp>
        <v>66.180000000000007</v>
        <stp/>
        <stp>ASK</stp>
        <stp>DFS</stp>
        <tr r="G133" s="1"/>
      </tp>
      <tp>
        <v>96.7</v>
        <stp/>
        <stp>ASK</stp>
        <stp>DGX</stp>
        <tr r="G135" s="1"/>
      </tp>
      <tp t="s">
        <v>instrument=TWX</v>
        <stp/>
        <stp>QUOTE_TREND</stp>
        <stp>TWX</stp>
        <tr r="D453" s="1"/>
      </tp>
      <tp t="s">
        <v>instrument=TWC</v>
        <stp/>
        <stp>QUOTE_TREND</stp>
        <stp>TWC</stp>
        <tr r="D452" s="1"/>
      </tp>
      <tp>
        <v>18.66</v>
        <stp/>
        <stp>LOW</stp>
        <stp>IPG</stp>
        <tr r="M242" s="1"/>
      </tp>
      <tp>
        <v>196</v>
        <stp/>
        <stp>BID</stp>
        <stp>GWW</stp>
        <tr r="F211" s="1"/>
      </tp>
      <tp>
        <v>126.27</v>
        <stp/>
        <stp>ASK</stp>
        <stp>DNB</stp>
        <tr r="G142" s="1"/>
      </tp>
      <tp>
        <v>1.74</v>
        <stp/>
        <stp>ASK</stp>
        <stp>DNR</stp>
        <tr r="G143" s="1"/>
      </tp>
      <tp>
        <v>40.299999999999997</v>
        <stp/>
        <stp>LOW</stp>
        <stp>IRM</stp>
        <tr r="M244" s="1"/>
      </tp>
      <tp t="s">
        <v>instrument=TYC</v>
        <stp/>
        <stp>QUOTE_TREND</stp>
        <stp>TYC</stp>
        <tr r="D456" s="1"/>
      </tp>
      <tp t="s">
        <v>instrument=TXT</v>
        <stp/>
        <stp>QUOTE_TREND</stp>
        <stp>TXT</stp>
        <tr r="D455" s="1"/>
      </tp>
      <tp>
        <v>118.2</v>
        <stp/>
        <stp>ASK</stp>
        <stp>DOV</stp>
        <tr r="G145" s="1"/>
      </tp>
      <tp>
        <v>66.400000000000006</v>
        <stp/>
        <stp>ASK</stp>
        <stp>DOW</stp>
        <tr r="G146" s="1"/>
      </tp>
      <tp t="s">
        <v>instrument=TXN</v>
        <stp/>
        <stp>QUOTE_TREND</stp>
        <stp>TXN</stp>
        <tr r="D454" s="1"/>
      </tp>
      <tp>
        <v>156.47999999999999</v>
        <stp/>
        <stp>LOW</stp>
        <stp>ITW</stp>
        <tr r="M246" s="1"/>
      </tp>
      <tp>
        <v>48.17</v>
        <stp/>
        <stp>ASK</stp>
        <stp>DHI</stp>
        <tr r="G136" s="1"/>
      </tp>
      <tp>
        <v>94.25</v>
        <stp/>
        <stp>ASK</stp>
        <stp>DHR</stp>
        <tr r="G137" s="1"/>
      </tp>
      <tp>
        <v>6.56</v>
        <stp/>
        <stp>NET_CHANGE</stp>
        <stp>ROST</stp>
        <tr r="E398" s="1"/>
      </tp>
      <tp>
        <v>0</v>
        <stp/>
        <stp>NET_CHANGE</stp>
        <stp>COST</stp>
        <tr r="E114" s="1"/>
      </tp>
      <tp>
        <v>0.33</v>
        <stp/>
        <stp>NET_CHANGE</stp>
        <stp>FOSL</stp>
        <tr r="E191" s="1"/>
      </tp>
      <tp>
        <v>103.48</v>
        <stp/>
        <stp>ASK</stp>
        <stp>DIS</stp>
        <tr r="G138" s="1"/>
      </tp>
      <tp>
        <v>34.365000000000002</v>
        <stp/>
        <stp>LOW</stp>
        <stp>IVZ</stp>
        <tr r="M247" s="1"/>
      </tp>
      <tp>
        <v>82.8</v>
        <stp/>
        <stp>BID</stp>
        <stp>GPC</stp>
        <tr r="F206" s="1"/>
      </tp>
      <tp>
        <v>29.32</v>
        <stp/>
        <stp>BID</stp>
        <stp>GPS</stp>
        <tr r="F207" s="1"/>
      </tp>
      <tp>
        <v>112.91</v>
        <stp/>
        <stp>ASK</stp>
        <stp>DTE</stp>
        <tr r="G149" s="1"/>
      </tp>
      <tp>
        <v>55.68</v>
        <stp/>
        <stp>ASK</stp>
        <stp>DTV</stp>
        <tr r="G150" s="1"/>
      </tp>
      <tp>
        <v>3.37</v>
        <stp/>
        <stp>BID</stp>
        <stp>GNW</stp>
        <tr r="F204" s="1"/>
      </tp>
      <tp>
        <v>-13.41</v>
        <stp/>
        <stp>NET_CHANGE</stp>
        <stp>GOOG</stp>
        <tr r="E205" s="1"/>
      </tp>
      <tp>
        <v>88.59</v>
        <stp/>
        <stp>ASK</stp>
        <stp>DUK</stp>
        <tr r="G151" s="1"/>
      </tp>
      <tp>
        <v>55.5</v>
        <stp/>
        <stp>ASK</stp>
        <stp>DVA</stp>
        <tr r="G152" s="1"/>
      </tp>
      <tp t="s">
        <v>instrument=TAP</v>
        <stp/>
        <stp>QUOTE_TREND</stp>
        <stp>TAP</stp>
        <tr r="D434" s="1"/>
      </tp>
      <tp>
        <v>38.65</v>
        <stp/>
        <stp>ASK</stp>
        <stp>DVN</stp>
        <tr r="G153" s="1"/>
      </tp>
      <tp>
        <v>31.58</v>
        <stp/>
        <stp>BID</stp>
        <stp>GLW</stp>
        <tr r="F202" s="1"/>
      </tp>
      <tp>
        <v>16.239999999999998</v>
        <stp/>
        <stp>BID</stp>
        <stp>GME</stp>
        <tr r="F203" s="1"/>
      </tp>
      <tp t="s">
        <v>N/A</v>
        <stp/>
        <stp>NET_CHANGE</stp>
        <stp>MOLX</stp>
        <tr r="E308" s="1"/>
      </tp>
      <tp t="s">
        <v>instrument=TGT</v>
        <stp/>
        <stp>QUOTE_TREND</stp>
        <stp>TGT</stp>
        <tr r="D440" s="1"/>
      </tp>
      <tp>
        <v>87.33</v>
        <stp/>
        <stp>ASK</stp>
        <stp>DPS</stp>
        <tr r="G147" s="1"/>
      </tp>
      <tp t="s">
        <v>instrument=TER</v>
        <stp/>
        <stp>QUOTE_TREND</stp>
        <stp>TER</stp>
        <tr r="D439" s="1"/>
      </tp>
      <tp>
        <v>84.02</v>
        <stp/>
        <stp>ASK</stp>
        <stp>DRI</stp>
        <tr r="G148" s="1"/>
      </tp>
      <tp t="s">
        <v>instrument=TEG</v>
        <stp/>
        <stp>QUOTE_TREND</stp>
        <stp>TEG</stp>
        <tr r="D437" s="1"/>
      </tp>
      <tp t="s">
        <v>instrument=TEL</v>
        <stp/>
        <stp>QUOTE_TREND</stp>
        <stp>TEL</stp>
        <tr r="D438" s="1"/>
      </tp>
      <tp t="s">
        <v>instrument=TDC</v>
        <stp/>
        <stp>QUOTE_TREND</stp>
        <stp>TDC</stp>
        <tr r="D435" s="1"/>
      </tp>
      <tp>
        <v>53.64</v>
        <stp/>
        <stp>BID</stp>
        <stp>GIS</stp>
        <tr r="F201" s="1"/>
      </tp>
      <tp t="s">
        <v>instrument=TJX</v>
        <stp/>
        <stp>QUOTE_TREND</stp>
        <stp>TJX</stp>
        <tr r="D443" s="1"/>
      </tp>
      <tp t="s">
        <v>instrument=TIF</v>
        <stp/>
        <stp>QUOTE_TREND</stp>
        <stp>TIF</stp>
        <tr r="D442" s="1"/>
      </tp>
      <tp>
        <v>148.83000000000001</v>
        <stp/>
        <stp>LOW</stp>
        <stp>IBM</stp>
        <tr r="M235" s="1"/>
      </tp>
      <tp t="s">
        <v>instrument=THC</v>
        <stp/>
        <stp>QUOTE_TREND</stp>
        <stp>THC</stp>
        <tr r="D441" s="1"/>
      </tp>
      <tp>
        <v>65.97</v>
        <stp/>
        <stp>LOW</stp>
        <stp>ICE</stp>
        <tr r="M236" s="1"/>
      </tp>
      <tp>
        <v>10.77</v>
        <stp/>
        <stp>BID</stp>
        <stp>GCI</stp>
        <tr r="F197" s="1"/>
      </tp>
      <tp>
        <v>147.51</v>
        <stp/>
        <stp>LOW</stp>
        <stp>IFF</stp>
        <tr r="M237" s="1"/>
      </tp>
      <tp t="s">
        <v>instrument=TMO</v>
        <stp/>
        <stp>QUOTE_TREND</stp>
        <stp>TMO</stp>
        <tr r="D445" s="1"/>
      </tp>
      <tp t="s">
        <v>instrument=TMK</v>
        <stp/>
        <stp>QUOTE_TREND</stp>
        <stp>TMK</stp>
        <tr r="D444" s="1"/>
      </tp>
      <tp>
        <v>28.54</v>
        <stp/>
        <stp>LOW</stp>
        <stp>IGT</stp>
        <tr r="M238" s="1"/>
      </tp>
      <tp>
        <v>65.98</v>
        <stp/>
        <stp>BID</stp>
        <stp>GAS</stp>
        <tr r="F196" s="1"/>
      </tp>
      <tp>
        <v>8.3498999999999999</v>
        <stp/>
        <stp>52HIGH</stp>
        <stp>WIN</stp>
        <tr r="N481" s="1"/>
      </tp>
      <tp>
        <v>202.99</v>
        <stp/>
        <stp>52HIGH</stp>
        <stp>WHR</stp>
        <tr r="N480" s="1"/>
      </tp>
      <tp>
        <v>32.69</v>
        <stp/>
        <stp>52HIGH</stp>
        <stp>WMB</stp>
        <tr r="N484" s="1"/>
      </tp>
      <tp>
        <v>99.68</v>
        <stp/>
        <stp>52HIGH</stp>
        <stp>WMT</stp>
        <tr r="N485" s="1"/>
      </tp>
      <tp>
        <v>0</v>
        <stp/>
        <stp>Last</stp>
        <stp>JDSU</stp>
        <tr r="B251" s="1"/>
      </tp>
      <tp>
        <v>104.1</v>
        <stp/>
        <stp>Mark</stp>
        <stp>CELG</stp>
        <tr r="P90" s="1"/>
      </tp>
      <tp>
        <v>127.49</v>
        <stp/>
        <stp>Last</stp>
        <stp>ADSK</stp>
        <tr r="B17" s="1"/>
      </tp>
      <tp t="s">
        <v>N/A</v>
        <stp/>
        <stp>Mark</stp>
        <stp>DELL</stp>
        <tr r="P131" s="1"/>
      </tp>
      <tp>
        <v>149.51</v>
        <stp/>
        <stp>52HIGH</stp>
        <stp>WLP</stp>
        <tr r="N482" s="1"/>
      </tp>
      <tp t="s">
        <v>N/A</v>
        <stp/>
        <stp>Mark</stp>
        <stp>BEAM</stp>
        <tr r="P61" s="1"/>
      </tp>
      <tp>
        <v>149.51</v>
        <stp/>
        <stp>52HIGH</stp>
        <stp>WAG</stp>
        <tr r="N474" s="1"/>
      </tp>
      <tp>
        <v>199.83</v>
        <stp/>
        <stp>52HIGH</stp>
        <stp>WAT</stp>
        <tr r="N475" s="1"/>
      </tp>
      <tp>
        <v>75.709999999999994</v>
        <stp/>
        <stp>52LOW</stp>
        <stp>VRSN</stp>
        <tr r="O471" s="1"/>
      </tp>
      <tp>
        <v>70.09</v>
        <stp/>
        <stp>52HIGH</stp>
        <stp>WEC</stp>
        <tr r="N477" s="1"/>
      </tp>
      <tp t="s">
        <v>instrument=AMZN</v>
        <stp/>
        <stp>QUOTE_TREND</stp>
        <stp>AMZN</stp>
        <tr r="D37" s="1"/>
      </tp>
      <tp>
        <v>95.77</v>
        <stp/>
        <stp>52HIGH</stp>
        <stp>WDC</stp>
        <tr r="N476" s="1"/>
      </tp>
      <tp>
        <v>391.59</v>
        <stp/>
        <stp>Mark</stp>
        <stp>REGN</stp>
        <tr r="P391" s="1"/>
      </tp>
      <tp t="s">
        <v>N/A</v>
        <stp/>
        <stp>52HIGH</stp>
        <stp>WFM</stp>
        <tr r="N479" s="1"/>
      </tp>
      <tp>
        <v>59.99</v>
        <stp/>
        <stp>52HIGH</stp>
        <stp>WFC</stp>
        <tr r="N478" s="1"/>
      </tp>
      <tp>
        <v>110.74</v>
        <stp/>
        <stp>52HIGH</stp>
        <stp>WYN</stp>
        <tr r="N490" s="1"/>
      </tp>
      <tp>
        <v>29.5</v>
        <stp/>
        <stp>52LOW</stp>
        <stp>TRIP</stp>
        <tr r="O446" s="1"/>
      </tp>
      <tp t="s">
        <v>instrument=AMGN</v>
        <stp/>
        <stp>QUOTE_TREND</stp>
        <stp>AMGN</stp>
        <tr r="D34" s="1"/>
      </tp>
      <tp>
        <v>192.65</v>
        <stp/>
        <stp>LOW</stp>
        <stp>NFLX</stp>
        <tr r="M328" s="1"/>
      </tp>
      <tp>
        <v>182.24</v>
        <stp/>
        <stp>Last</stp>
        <stp>ADBE</stp>
        <tr r="B13" s="1"/>
      </tp>
      <tp>
        <v>47.03</v>
        <stp/>
        <stp>52LOW</stp>
        <stp>GRMN</stp>
        <tr r="O208" s="1"/>
      </tp>
      <tp>
        <v>36.04</v>
        <stp/>
        <stp>Last</stp>
        <stp>PDCO</stp>
        <tr r="B358" s="1"/>
      </tp>
      <tp>
        <v>169.43</v>
        <stp/>
        <stp>52LOW</stp>
        <stp>ORLY</stp>
        <tr r="O348" s="1"/>
      </tp>
      <tp>
        <v>65.33</v>
        <stp/>
        <stp>52LOW</stp>
        <stp>TROW</stp>
        <tr r="O447" s="1"/>
      </tp>
      <tp>
        <v>75.95</v>
        <stp/>
        <stp>Last</stp>
        <stp>NDAQ</stp>
        <tr r="B324" s="1"/>
      </tp>
      <tp>
        <v>121.19</v>
        <stp/>
        <stp>LOW</stp>
        <stp>FFIV</stp>
        <tr r="M182" s="1"/>
      </tp>
      <tp t="s">
        <v>instrument=AMAT</v>
        <stp/>
        <stp>QUOTE_TREND</stp>
        <stp>AMAT</stp>
        <tr r="D32" s="1"/>
      </tp>
      <tp>
        <v>52.534999999999997</v>
        <stp/>
        <stp>52LOW</stp>
        <stp>XRAY</stp>
        <tr r="O497" s="1"/>
      </tp>
      <tp>
        <v>78.319999999999993</v>
        <stp/>
        <stp>OPEN</stp>
        <stp>YUM</stp>
        <tr r="K501" s="1"/>
      </tp>
      <tp t="s">
        <v>N/A</v>
        <stp/>
        <stp>52HIGH</stp>
        <stp>WPO</stp>
        <tr r="N486" s="1"/>
      </tp>
      <tp>
        <v>16.170000000000002</v>
        <stp/>
        <stp>52HIGH</stp>
        <stp>WPX</stp>
        <tr r="N487" s="1"/>
      </tp>
      <tp>
        <v>42.3</v>
        <stp/>
        <stp>Last</stp>
        <stp>MDLZ</stp>
        <tr r="B298" s="1"/>
      </tp>
      <tp>
        <v>41.28</v>
        <stp/>
        <stp>52LOW</stp>
        <stp>BRCM</stp>
        <tr r="O72" s="1"/>
      </tp>
      <tp>
        <v>37.64</v>
        <stp/>
        <stp>52LOW</stp>
        <stp>ORCL</stp>
        <tr r="O347" s="1"/>
      </tp>
      <tp>
        <v>61.62</v>
        <stp/>
        <stp>52LOW</stp>
        <stp>SRCL</stp>
        <tr r="O420" s="1"/>
      </tp>
      <tp>
        <v>97.79</v>
        <stp/>
        <stp>52LOW</stp>
        <stp>LRCX</stp>
        <tr r="O282" s="1"/>
      </tp>
      <tp>
        <v>65.400000000000006</v>
        <stp/>
        <stp>Mark</stp>
        <stp>CERN</stp>
        <tr r="P91" s="1"/>
      </tp>
      <tp>
        <v>16.1905</v>
        <stp/>
        <stp>52LOW</stp>
        <stp>URBN</stp>
        <tr r="O461" s="1"/>
      </tp>
      <tp t="s">
        <v>N/A</v>
        <stp/>
        <stp>Mark</stp>
        <stp>PETM</stp>
        <tr r="P361" s="1"/>
      </tp>
      <tp>
        <v>63.68</v>
        <stp/>
        <stp>52LOW</stp>
        <stp>PRGO</stp>
        <tr r="O378" s="1"/>
      </tp>
      <tp>
        <v>53.33</v>
        <stp/>
        <stp>52LOW</stp>
        <stp>KRFT</stp>
        <tr r="O267" s="1"/>
      </tp>
      <tp t="s">
        <v>Range Bound</v>
        <stp/>
        <stp>STRENGTH_METER</stp>
        <stp>OXY</stp>
        <tr r="C349" s="1"/>
      </tp>
      <tp>
        <v>9549746</v>
        <stp/>
        <stp>VOLUME</stp>
        <stp>KEY</stp>
        <tr r="J259" s="1"/>
      </tp>
      <tp>
        <v>4277986</v>
        <stp/>
        <stp>VOLUME</stp>
        <stp>KIM</stp>
        <tr r="J260" s="1"/>
      </tp>
      <tp>
        <v>2525535</v>
        <stp/>
        <stp>VOLUME</stp>
        <stp>KMX</stp>
        <tr r="J264" s="1"/>
      </tp>
      <tp>
        <v>12224162</v>
        <stp/>
        <stp>VOLUME</stp>
        <stp>KMI</stp>
        <tr r="J263" s="1"/>
      </tp>
      <tp>
        <v>1485265</v>
        <stp/>
        <stp>VOLUME</stp>
        <stp>KMB</stp>
        <tr r="J262" s="1"/>
      </tp>
      <tp t="s">
        <v>Range Bound</v>
        <stp/>
        <stp>STRENGTH_METER</stp>
        <stp>OMC</stp>
        <tr r="C346" s="1"/>
      </tp>
      <tp t="s">
        <v>N/A</v>
        <stp/>
        <stp>LOW</stp>
        <stp>BF-B</stp>
        <tr r="M63" s="1"/>
      </tp>
      <tp>
        <v>4130319</v>
        <stp/>
        <stp>VOLUME</stp>
        <stp>KSS</stp>
        <tr r="J268" s="1"/>
      </tp>
      <tp t="s">
        <v>Range Bound</v>
        <stp/>
        <stp>STRENGTH_METER</stp>
        <stp>OKE</stp>
        <tr r="C345" s="1"/>
      </tp>
      <tp t="s">
        <v>instrument=USB</v>
        <stp/>
        <stp>QUOTE_TREND</stp>
        <stp>USB</stp>
        <tr r="D462" s="1"/>
      </tp>
      <tp>
        <v>111.54</v>
        <stp/>
        <stp>ASK</stp>
        <stp>EFX</stp>
        <tr r="G158" s="1"/>
      </tp>
      <tp t="s">
        <v>instrument=UPS</v>
        <stp/>
        <stp>QUOTE_TREND</stp>
        <stp>UPS</stp>
        <tr r="D460" s="1"/>
      </tp>
      <tp>
        <v>131.46</v>
        <stp/>
        <stp>ASK</stp>
        <stp>ECL</stp>
        <tr r="G156" s="1"/>
      </tp>
      <tp t="s">
        <v>instrument=UTX</v>
        <stp/>
        <stp>QUOTE_TREND</stp>
        <stp>UTX</stp>
        <tr r="D463" s="1"/>
      </tp>
      <tp>
        <v>21.450199999999999</v>
        <stp/>
        <stp>LOW</stp>
        <stp>HPQ</stp>
        <tr r="M227" s="1"/>
      </tp>
      <tp>
        <v>29.22</v>
        <stp/>
        <stp>ASK</stp>
        <stp>EMC</stp>
        <tr r="G161" s="1"/>
      </tp>
      <tp>
        <v>91.02</v>
        <stp/>
        <stp>ASK</stp>
        <stp>EMN</stp>
        <tr r="G162" s="1"/>
      </tp>
      <tp>
        <v>59.9</v>
        <stp/>
        <stp>ASK</stp>
        <stp>EMR</stp>
        <tr r="G163" s="1"/>
      </tp>
      <tp>
        <v>26.58</v>
        <stp/>
        <stp>BID</stp>
        <stp>FTI</stp>
        <tr r="F194" s="1"/>
      </tp>
      <tp>
        <v>139.72999999999999</v>
        <stp/>
        <stp>LOW</stp>
        <stp>HRS</stp>
        <tr r="M230" s="1"/>
      </tp>
      <tp>
        <v>32.83</v>
        <stp/>
        <stp>LOW</stp>
        <stp>HRL</stp>
        <tr r="M229" s="1"/>
      </tp>
      <tp>
        <v>25.64</v>
        <stp/>
        <stp>LOW</stp>
        <stp>HRB</stp>
        <tr r="M228" s="1"/>
      </tp>
      <tp>
        <v>6.91</v>
        <stp/>
        <stp>BID</stp>
        <stp>FTR</stp>
        <tr r="F195" s="1"/>
      </tp>
      <tp>
        <v>104</v>
        <stp/>
        <stp>ASK</stp>
        <stp>EOG</stp>
        <tr r="G164" s="1"/>
      </tp>
      <tp>
        <v>108.98</v>
        <stp/>
        <stp>LOW</stp>
        <stp>HSY</stp>
        <tr r="M233" s="1"/>
      </tp>
      <tp>
        <v>19.82</v>
        <stp/>
        <stp>LOW</stp>
        <stp>HST</stp>
        <tr r="M232" s="1"/>
      </tp>
      <tp>
        <v>0</v>
        <stp/>
        <stp>LOW</stp>
        <stp>HSP</stp>
        <tr r="M231" s="1"/>
      </tp>
      <tp>
        <v>0.9</v>
        <stp/>
        <stp>NET_CHANGE</stp>
        <stp>INTU</stp>
        <tr r="E240" s="1"/>
      </tp>
      <tp>
        <v>-1.02</v>
        <stp/>
        <stp>NET_CHANGE</stp>
        <stp>INTC</stp>
        <tr r="E239" s="1"/>
      </tp>
      <tp t="s">
        <v>N/A</v>
        <stp/>
        <stp>BID</stp>
        <stp>FRX</stp>
        <tr r="F192" s="1"/>
      </tp>
      <tp>
        <v>0.17</v>
        <stp/>
        <stp>NET_CHANGE</stp>
        <stp>MNST</stp>
        <tr r="E306" s="1"/>
      </tp>
      <tp>
        <v>233.28</v>
        <stp/>
        <stp>LOW</stp>
        <stp>HUM</stp>
        <tr r="M234" s="1"/>
      </tp>
      <tp>
        <v>90</v>
        <stp/>
        <stp>ASK</stp>
        <stp>EIX</stp>
        <tr r="G159" s="1"/>
      </tp>
      <tp>
        <v>0.11</v>
        <stp/>
        <stp>NET_CHANGE</stp>
        <stp>JNPR</stp>
        <tr r="E254" s="1"/>
      </tp>
      <tp>
        <v>76.72</v>
        <stp/>
        <stp>ASK</stp>
        <stp>ETN</stp>
        <tr r="G170" s="1"/>
      </tp>
      <tp>
        <v>87.92</v>
        <stp/>
        <stp>ASK</stp>
        <stp>ETR</stp>
        <tr r="G171" s="1"/>
      </tp>
      <tp>
        <v>55.55</v>
        <stp/>
        <stp>LOW</stp>
        <stp>HIG</stp>
        <tr r="M221" s="1"/>
      </tp>
      <tp>
        <v>36.229999999999997</v>
        <stp/>
        <stp>BID</stp>
        <stp>FLS</stp>
        <tr r="F189" s="1"/>
      </tp>
      <tp>
        <v>45.05</v>
        <stp/>
        <stp>BID</stp>
        <stp>FLR</stp>
        <tr r="F188" s="1"/>
      </tp>
      <tp>
        <v>17.385000000000002</v>
        <stp/>
        <stp>OPEN</stp>
        <stp>DISCA</stp>
        <tr r="K139" s="1"/>
      </tp>
      <tp>
        <v>92</v>
        <stp/>
        <stp>BID</stp>
        <stp>FMC</stp>
        <tr r="F190" s="1"/>
      </tp>
      <tp>
        <v>90</v>
        <stp/>
        <stp>ASK</stp>
        <stp>EQR</stp>
        <tr r="G165" s="1"/>
      </tp>
      <tp>
        <v>61.02</v>
        <stp/>
        <stp>ASK</stp>
        <stp>EQT</stp>
        <tr r="G166" s="1"/>
      </tp>
      <tp>
        <v>16</v>
        <stp/>
        <stp>BID</stp>
        <stp>FHN</stp>
        <tr r="F183" s="1"/>
      </tp>
      <tp t="s">
        <v>N/A</v>
        <stp/>
        <stp>LOW</stp>
        <stp>HNZ</stp>
        <tr r="M222" s="1"/>
      </tp>
      <tp>
        <v>0</v>
        <stp/>
        <stp>LOW</stp>
        <stp>HOT</stp>
        <tr r="M225" s="1"/>
      </tp>
      <tp>
        <v>146.19999999999999</v>
        <stp/>
        <stp>LOW</stp>
        <stp>HON</stp>
        <tr r="M224" s="1"/>
      </tp>
      <tp>
        <v>5.5</v>
        <stp/>
        <stp>ASK</stp>
        <stp>ESV</stp>
        <tr r="G168" s="1"/>
      </tp>
      <tp>
        <v>46.49</v>
        <stp/>
        <stp>LOW</stp>
        <stp>HOG</stp>
        <tr r="M223" s="1"/>
      </tp>
      <tp>
        <v>85</v>
        <stp/>
        <stp>BID</stp>
        <stp>FIS</stp>
        <tr r="F184" s="1"/>
      </tp>
      <tp>
        <v>0</v>
        <stp/>
        <stp>LOW</stp>
        <stp>HAR</stp>
        <tr r="M213" s="1"/>
      </tp>
      <tp>
        <v>95.7</v>
        <stp/>
        <stp>LOW</stp>
        <stp>HAS</stp>
        <tr r="M214" s="1"/>
      </tp>
      <tp>
        <v>41.31</v>
        <stp/>
        <stp>LOW</stp>
        <stp>HAL</stp>
        <tr r="M212" s="1"/>
      </tp>
      <tp>
        <v>79.58</v>
        <stp/>
        <stp>BID</stp>
        <stp>FDO</stp>
        <tr r="F179" s="1"/>
      </tp>
      <tp>
        <v>215</v>
        <stp/>
        <stp>BID</stp>
        <stp>FDX</stp>
        <tr r="F180" s="1"/>
      </tp>
      <tp>
        <v>26.741</v>
        <stp/>
        <stp>LOW</stp>
        <stp>HCP</stp>
        <tr r="M218" s="1"/>
      </tp>
      <tp>
        <v>67.790000000000006</v>
        <stp/>
        <stp>LOW</stp>
        <stp>HCN</stp>
        <tr r="M217" s="1"/>
      </tp>
      <tp>
        <v>0</v>
        <stp/>
        <stp>NET_CHANGE</stp>
        <stp>SNDK</stp>
        <tr r="E415" s="1"/>
      </tp>
      <tp>
        <v>41.28</v>
        <stp/>
        <stp>ASK</stp>
        <stp>EXC</stp>
        <tr r="G173" s="1"/>
      </tp>
      <tp t="s">
        <v>instrument=UNP</v>
        <stp/>
        <stp>QUOTE_TREND</stp>
        <stp>UNP</stp>
        <tr r="D459" s="1"/>
      </tp>
      <tp>
        <v>44.21</v>
        <stp/>
        <stp>LOW</stp>
        <stp>HES</stp>
        <tr r="M220" s="1"/>
      </tp>
      <tp>
        <v>13.79</v>
        <stp/>
        <stp>BID</stp>
        <stp>FCX</stp>
        <tr r="F178" s="1"/>
      </tp>
      <tp t="s">
        <v>instrument=UNM</v>
        <stp/>
        <stp>QUOTE_TREND</stp>
        <stp>UNM</stp>
        <tr r="D458" s="1"/>
      </tp>
      <tp t="s">
        <v>instrument=UNH</v>
        <stp/>
        <stp>QUOTE_TREND</stp>
        <stp>UNH</stp>
        <tr r="D457" s="1"/>
      </tp>
      <tp>
        <v>16.190000000000001</v>
        <stp/>
        <stp>HIGH</stp>
        <stp>ANF</stp>
        <tr r="L39" s="1"/>
      </tp>
      <tp>
        <v>141.48990000000001</v>
        <stp/>
        <stp>HIGH</stp>
        <stp>AON</stp>
        <tr r="L40" s="1"/>
      </tp>
      <tp>
        <v>100.43</v>
        <stp/>
        <stp>HIGH</stp>
        <stp>ALL</stp>
        <tr r="L29" s="1"/>
      </tp>
      <tp t="s">
        <v>N/A</v>
        <stp/>
        <stp>Last</stp>
        <stp>PETM</stp>
        <tr r="B361" s="1"/>
      </tp>
      <tp t="s">
        <v>instrument=LLTC</v>
        <stp/>
        <stp>QUOTE_TREND</stp>
        <stp>LLTC</stp>
        <tr r="D275" s="1"/>
      </tp>
      <tp t="s">
        <v>instrument=ALTR</v>
        <stp/>
        <stp>QUOTE_TREND</stp>
        <stp>ALTR</stp>
        <tr r="D30" s="1"/>
      </tp>
      <tp t="s">
        <v>instrument=DLTR</v>
        <stp/>
        <stp>QUOTE_TREND</stp>
        <stp>DLTR</stp>
        <tr r="D141" s="1"/>
      </tp>
      <tp>
        <v>80.319999999999993</v>
        <stp/>
        <stp>OPEN</stp>
        <stp>XOM</stp>
        <tr r="K496" s="1"/>
      </tp>
      <tp>
        <v>11.75</v>
        <stp/>
        <stp>HIGH</stp>
        <stp>AMD</stp>
        <tr r="L33" s="1"/>
      </tp>
      <tp>
        <v>158.84</v>
        <stp/>
        <stp>HIGH</stp>
        <stp>AMP</stp>
        <tr r="L35" s="1"/>
      </tp>
      <tp>
        <v>148.85</v>
        <stp/>
        <stp>HIGH</stp>
        <stp>AMT</stp>
        <tr r="L36" s="1"/>
      </tp>
      <tp>
        <v>65.400000000000006</v>
        <stp/>
        <stp>Last</stp>
        <stp>CERN</stp>
        <tr r="B91" s="1"/>
      </tp>
      <tp>
        <v>136.82</v>
        <stp/>
        <stp>52HIGH</stp>
        <stp>VMC</stp>
        <tr r="N469" s="1"/>
      </tp>
      <tp>
        <v>42.3</v>
        <stp/>
        <stp>Mark</stp>
        <stp>MDLZ</stp>
        <tr r="P298" s="1"/>
      </tp>
      <tp>
        <v>82.61</v>
        <stp/>
        <stp>52HIGH</stp>
        <stp>VLO</stp>
        <tr r="N468" s="1"/>
      </tp>
      <tp t="s">
        <v>instrument=DLPH</v>
        <stp/>
        <stp>QUOTE_TREND</stp>
        <stp>DLPH</stp>
        <tr r="D140" s="1"/>
      </tp>
      <tp>
        <v>60.15</v>
        <stp/>
        <stp>HIGH</stp>
        <stp>AIG</stp>
        <tr r="L25" s="1"/>
      </tp>
      <tp>
        <v>98.9</v>
        <stp/>
        <stp>HIGH</stp>
        <stp>AIZ</stp>
        <tr r="L27" s="1"/>
      </tp>
      <tp>
        <v>44.75</v>
        <stp/>
        <stp>HIGH</stp>
        <stp>AIV</stp>
        <tr r="L26" s="1"/>
      </tp>
      <tp>
        <v>90.286739999999995</v>
        <stp/>
        <stp>52HIGH</stp>
        <stp>VNO</stp>
        <tr r="N470" s="1"/>
      </tp>
      <tp>
        <v>75.95</v>
        <stp/>
        <stp>Mark</stp>
        <stp>NDAQ</stp>
        <tr r="P324" s="1"/>
      </tp>
      <tp>
        <v>84.15</v>
        <stp/>
        <stp>HIGH</stp>
        <stp>AFL</stp>
        <tr r="L23" s="1"/>
      </tp>
      <tp>
        <v>109.71</v>
        <stp/>
        <stp>52HIGH</stp>
        <stp>VAR</stp>
        <tr r="N465" s="1"/>
      </tp>
      <tp>
        <v>51.06</v>
        <stp/>
        <stp>OPEN</stp>
        <stp>XEL</stp>
        <tr r="K493" s="1"/>
      </tp>
      <tp>
        <v>176.24</v>
        <stp/>
        <stp>HIGH</stp>
        <stp>AGN</stp>
        <tr r="L24" s="1"/>
      </tp>
      <tp>
        <v>91.05</v>
        <stp/>
        <stp>HIGH</stp>
        <stp>ADI</stp>
        <tr r="L14" s="1"/>
      </tp>
      <tp>
        <v>39.494999999999997</v>
        <stp/>
        <stp>HIGH</stp>
        <stp>ADM</stp>
        <tr r="L15" s="1"/>
      </tp>
      <tp>
        <v>111.22</v>
        <stp/>
        <stp>HIGH</stp>
        <stp>ADP</stp>
        <tr r="L16" s="1"/>
      </tp>
      <tp>
        <v>36.04</v>
        <stp/>
        <stp>Mark</stp>
        <stp>PDCO</stp>
        <tr r="P358" s="1"/>
      </tp>
      <tp>
        <v>0</v>
        <stp/>
        <stp>HIGH</stp>
        <stp>ADT</stp>
        <tr r="L18" s="1"/>
      </tp>
      <tp>
        <v>63.8</v>
        <stp/>
        <stp>HIGH</stp>
        <stp>AEE</stp>
        <tr r="L19" s="1"/>
      </tp>
      <tp>
        <v>182.24</v>
        <stp/>
        <stp>Mark</stp>
        <stp>ADBE</stp>
        <tr r="P13" s="1"/>
      </tp>
      <tp>
        <v>10.79</v>
        <stp/>
        <stp>HIGH</stp>
        <stp>AES</stp>
        <tr r="L21" s="1"/>
      </tp>
      <tp>
        <v>76.89</v>
        <stp/>
        <stp>HIGH</stp>
        <stp>AEP</stp>
        <tr r="L20" s="1"/>
      </tp>
      <tp>
        <v>175.3</v>
        <stp/>
        <stp>HIGH</stp>
        <stp>AET</stp>
        <tr r="L22" s="1"/>
      </tp>
      <tp>
        <v>203.57</v>
        <stp/>
        <stp>52LOW</stp>
        <stp>ISRG</stp>
        <tr r="O245" s="1"/>
      </tp>
      <tp>
        <v>55.8</v>
        <stp/>
        <stp>52LOW</stp>
        <stp>ESRX</stp>
        <tr r="O167" s="1"/>
      </tp>
      <tp>
        <v>80.03</v>
        <stp/>
        <stp>HIGH</stp>
        <stp>ABC</stp>
        <tr r="L8" s="1"/>
      </tp>
      <tp>
        <v>55.71</v>
        <stp/>
        <stp>HIGH</stp>
        <stp>ABT</stp>
        <tr r="L9" s="1"/>
      </tp>
      <tp>
        <v>146.79</v>
        <stp/>
        <stp>HIGH</stp>
        <stp>ACN</stp>
        <tr r="L11" s="1"/>
      </tp>
      <tp>
        <v>0</v>
        <stp/>
        <stp>HIGH</stp>
        <stp>ACE</stp>
        <tr r="L10" s="1"/>
      </tp>
      <tp>
        <v>0</v>
        <stp/>
        <stp>HIGH</stp>
        <stp>ACT</stp>
        <tr r="L12" s="1"/>
      </tp>
      <tp t="s">
        <v>instrument=ALXN</v>
        <stp/>
        <stp>QUOTE_TREND</stp>
        <stp>ALXN</stp>
        <tr r="D31" s="1"/>
      </tp>
      <tp>
        <v>71.95</v>
        <stp/>
        <stp>52HIGH</stp>
        <stp>VFC</stp>
        <tr r="N466" s="1"/>
      </tp>
      <tp>
        <v>391.59</v>
        <stp/>
        <stp>Last</stp>
        <stp>REGN</stp>
        <tr r="B391" s="1"/>
      </tp>
      <tp>
        <v>630.83000000000004</v>
        <stp/>
        <stp>HIGH</stp>
        <stp>AZO</stp>
        <tr r="L52" s="1"/>
      </tp>
      <tp>
        <v>64.42</v>
        <stp/>
        <stp>BID</stp>
        <stp>PAYX</stp>
        <tr r="F350" s="1"/>
      </tp>
      <tp>
        <v>66.17</v>
        <stp/>
        <stp>OPEN</stp>
        <stp>XYL</stp>
        <tr r="K499" s="1"/>
      </tp>
      <tp>
        <v>25.558800000000002</v>
        <stp/>
        <stp>52LOW</stp>
        <stp>FSLR</stp>
        <tr r="O193" s="1"/>
      </tp>
      <tp>
        <v>93.76</v>
        <stp/>
        <stp>HIGH</stp>
        <stp>AXP</stp>
        <tr r="L51" s="1"/>
      </tp>
      <tp t="s">
        <v>N/A</v>
        <stp/>
        <stp>Last</stp>
        <stp>BEAM</stp>
        <tr r="B61" s="1"/>
      </tp>
      <tp t="s">
        <v>instrument=KLAC</v>
        <stp/>
        <stp>QUOTE_TREND</stp>
        <stp>KLAC</stp>
        <tr r="D261" s="1"/>
      </tp>
      <tp>
        <v>186.09</v>
        <stp/>
        <stp>HIGH</stp>
        <stp>AVB</stp>
        <tr r="L48" s="1"/>
      </tp>
      <tp>
        <v>108.64</v>
        <stp/>
        <stp>HIGH</stp>
        <stp>AVY</stp>
        <tr r="L50" s="1"/>
      </tp>
      <tp>
        <v>1.95</v>
        <stp/>
        <stp>HIGH</stp>
        <stp>AVP</stp>
        <tr r="L49" s="1"/>
      </tp>
      <tp t="s">
        <v>instrument=XLNX</v>
        <stp/>
        <stp>QUOTE_TREND</stp>
        <stp>XLNX</stp>
        <tr r="D495" s="1"/>
      </tp>
      <tp>
        <v>21.97</v>
        <stp/>
        <stp>HIGH</stp>
        <stp>ATI</stp>
        <tr r="L47" s="1"/>
      </tp>
      <tp>
        <v>8.99</v>
        <stp/>
        <stp>Mark</stp>
        <stp>JDSU</stp>
        <tr r="P251" s="1"/>
      </tp>
      <tp>
        <v>104.1</v>
        <stp/>
        <stp>Last</stp>
        <stp>CELG</stp>
        <tr r="B90" s="1"/>
      </tp>
      <tp>
        <v>127.49</v>
        <stp/>
        <stp>Mark</stp>
        <stp>ADSK</stp>
        <tr r="P17" s="1"/>
      </tp>
      <tp t="s">
        <v>N/A</v>
        <stp/>
        <stp>Last</stp>
        <stp>DELL</stp>
        <tr r="B131" s="1"/>
      </tp>
      <tp>
        <v>29.12</v>
        <stp/>
        <stp>52LOW</stp>
        <stp>CSCO</stp>
        <tr r="O119" s="1"/>
      </tp>
      <tp>
        <v>0</v>
        <stp/>
        <stp>HIGH</stp>
        <stp>ARG</stp>
        <tr r="L46" s="1"/>
      </tp>
      <tp>
        <v>72.36</v>
        <stp/>
        <stp>52HIGH</stp>
        <stp>VTR</stp>
        <tr r="N472" s="1"/>
      </tp>
      <tp>
        <v>170</v>
        <stp/>
        <stp>BID</stp>
        <stp>AAPL</stp>
        <tr r="F6" s="1"/>
      </tp>
      <tp>
        <v>89.724999999999994</v>
        <stp/>
        <stp>HIGH</stp>
        <stp>APH</stp>
        <tr r="L44" s="1"/>
      </tp>
      <tp>
        <v>48.33</v>
        <stp/>
        <stp>HIGH</stp>
        <stp>APC</stp>
        <tr r="L42" s="1"/>
      </tp>
      <tp>
        <v>41.36</v>
        <stp/>
        <stp>HIGH</stp>
        <stp>APA</stp>
        <tr r="L41" s="1"/>
      </tp>
      <tp>
        <v>162.37</v>
        <stp/>
        <stp>HIGH</stp>
        <stp>APD</stp>
        <tr r="L43" s="1"/>
      </tp>
      <tp>
        <v>28.2</v>
        <stp/>
        <stp>OPEN</stp>
        <stp>XRX</stp>
        <tr r="K498" s="1"/>
      </tp>
      <tp>
        <v>48.5</v>
        <stp/>
        <stp>BID</stp>
        <stp>FAST</stp>
        <tr r="F177" s="1"/>
      </tp>
      <tp t="s">
        <v>instrument=FLIR</v>
        <stp/>
        <stp>QUOTE_TREND</stp>
        <stp>FLIR</stp>
        <tr r="D187" s="1"/>
      </tp>
      <tp>
        <v>58.8</v>
        <stp/>
        <stp>52LOW</stp>
        <stp>MSFT</stp>
        <tr r="O315" s="1"/>
      </tp>
      <tp>
        <v>1396267</v>
        <stp/>
        <stp>VOLUME</stp>
        <stp>JBL</stp>
        <tr r="J248" s="1"/>
      </tp>
      <tp>
        <v>12061287</v>
        <stp/>
        <stp>VOLUME</stp>
        <stp>JCP</stp>
        <tr r="J250" s="1"/>
      </tp>
      <tp>
        <v>5009461</v>
        <stp/>
        <stp>VOLUME</stp>
        <stp>JCI</stp>
        <tr r="J249" s="1"/>
      </tp>
      <tp t="s">
        <v>N/A</v>
        <stp/>
        <stp>STRENGTH_METER</stp>
        <stp>NYX</stp>
        <tr r="C343" s="1"/>
      </tp>
      <tp>
        <v>389168</v>
        <stp/>
        <stp>VOLUME</stp>
        <stp>JEC</stp>
        <tr r="J252" s="1"/>
      </tp>
      <tp t="s">
        <v>Range Bound</v>
        <stp/>
        <stp>STRENGTH_METER</stp>
        <stp>NUE</stp>
        <tr r="C339" s="1"/>
      </tp>
      <tp t="s">
        <v>Downtrend</v>
        <stp/>
        <stp>STRENGTH_METER</stp>
        <stp>NWL</stp>
        <tr r="C341" s="1"/>
      </tp>
      <tp>
        <v>4112134</v>
        <stp/>
        <stp>VOLUME</stp>
        <stp>JNJ</stp>
        <tr r="J253" s="1"/>
      </tp>
      <tp t="s">
        <v>Uptrend</v>
        <stp/>
        <stp>STRENGTH_METER</stp>
        <stp>NRG</stp>
        <tr r="C334" s="1"/>
      </tp>
      <tp>
        <v>0</v>
        <stp/>
        <stp>VOLUME</stp>
        <stp>JOY</stp>
        <tr r="J255" s="1"/>
      </tp>
      <tp t="s">
        <v>Range Bound</v>
        <stp/>
        <stp>STRENGTH_METER</stp>
        <stp>NSC</stp>
        <tr r="C335" s="1"/>
      </tp>
      <tp>
        <v>8989195</v>
        <stp/>
        <stp>VOLUME</stp>
        <stp>JPM</stp>
        <tr r="J256" s="1"/>
      </tp>
      <tp t="s">
        <v>Range Bound</v>
        <stp/>
        <stp>STRENGTH_METER</stp>
        <stp>NOV</stp>
        <tr r="C333" s="1"/>
      </tp>
      <tp t="s">
        <v>Range Bound</v>
        <stp/>
        <stp>STRENGTH_METER</stp>
        <stp>NOC</stp>
        <tr r="C332" s="1"/>
      </tp>
      <tp>
        <v>2331261</v>
        <stp/>
        <stp>VOLUME</stp>
        <stp>JWN</stp>
        <tr r="J257" s="1"/>
      </tp>
      <tp t="s">
        <v>Range Bound</v>
        <stp/>
        <stp>STRENGTH_METER</stp>
        <stp>NKE</stp>
        <tr r="C331" s="1"/>
      </tp>
      <tp t="s">
        <v>Range Bound</v>
        <stp/>
        <stp>STRENGTH_METER</stp>
        <stp>NEM</stp>
        <tr r="C327" s="1"/>
      </tp>
      <tp t="s">
        <v>Range Bound</v>
        <stp/>
        <stp>STRENGTH_METER</stp>
        <stp>NEE</stp>
        <tr r="C326" s="1"/>
      </tp>
      <tp t="s">
        <v>Range Bound</v>
        <stp/>
        <stp>STRENGTH_METER</stp>
        <stp>NFX</stp>
        <tr r="C329" s="1"/>
      </tp>
      <tp t="s">
        <v>Range Bound</v>
        <stp/>
        <stp>STRENGTH_METER</stp>
        <stp>NBR</stp>
        <tr r="C323" s="1"/>
      </tp>
      <tp t="s">
        <v>Range Bound</v>
        <stp/>
        <stp>STRENGTH_METER</stp>
        <stp>NBL</stp>
        <tr r="C322" s="1"/>
      </tp>
      <tp>
        <v>53.92</v>
        <stp/>
        <stp>52LOW</stp>
        <stp>EMR</stp>
        <tr r="O163" s="1"/>
      </tp>
      <tp>
        <v>73.515000000000001</v>
        <stp/>
        <stp>52LOW</stp>
        <stp>EMN</stp>
        <tr r="O162" s="1"/>
      </tp>
      <tp>
        <v>0</v>
        <stp/>
        <stp>52LOW</stp>
        <stp>EMC</stp>
        <tr r="O161" s="1"/>
      </tp>
      <tp>
        <v>72.7</v>
        <stp/>
        <stp>OPEN</stp>
        <stp>XLNX</stp>
        <tr r="K495" s="1"/>
      </tp>
      <tp>
        <v>81.99</v>
        <stp/>
        <stp>52LOW</stp>
        <stp>EOG</stp>
        <tr r="O164" s="1"/>
      </tp>
      <tp>
        <v>47.32</v>
        <stp/>
        <stp>OPEN</stp>
        <stp>FLIR</stp>
        <tr r="K187" s="1"/>
      </tp>
      <tp>
        <v>67.73</v>
        <stp/>
        <stp>52LOW</stp>
        <stp>EIX</stp>
        <tr r="O159" s="1"/>
      </tp>
      <tp>
        <v>89.59</v>
        <stp/>
        <stp>52LOW</stp>
        <stp>EFX</stp>
        <tr r="O158" s="1"/>
      </tp>
      <tp>
        <v>105.76</v>
        <stp/>
        <stp>OPEN</stp>
        <stp>KLAC</stp>
        <tr r="K261" s="1"/>
      </tp>
      <tp>
        <v>0</v>
        <stp/>
        <stp>HIGH</stp>
        <stp>SNDK</stp>
        <tr r="L415" s="1"/>
      </tp>
      <tp>
        <v>64.400000000000006</v>
        <stp/>
        <stp>Last</stp>
        <stp>VTR</stp>
        <tr r="B472" s="1"/>
      </tp>
      <tp>
        <v>114.05</v>
        <stp/>
        <stp>52LOW</stp>
        <stp>ECL</stp>
        <tr r="O156" s="1"/>
      </tp>
      <tp>
        <v>64.400000000000006</v>
        <stp/>
        <stp>Mark</stp>
        <stp>VTR</stp>
        <tr r="P472" s="1"/>
      </tp>
      <tp>
        <v>110.15</v>
        <stp/>
        <stp>OPEN</stp>
        <stp>ALXN</stp>
        <tr r="K31" s="1"/>
      </tp>
      <tp>
        <v>76.599999999999994</v>
        <stp/>
        <stp>Last</stp>
        <stp>VNO</stp>
        <tr r="B470" s="1"/>
      </tp>
      <tp>
        <v>31.164999999999999</v>
        <stp/>
        <stp>52LOW</stp>
        <stp>EXC</stp>
        <tr r="O173" s="1"/>
      </tp>
      <tp>
        <v>76.599999999999994</v>
        <stp/>
        <stp>Mark</stp>
        <stp>VNO</stp>
        <tr r="P470" s="1"/>
      </tp>
      <tp>
        <v>123.04</v>
        <stp/>
        <stp>Mark</stp>
        <stp>VMC</stp>
        <tr r="P469" s="1"/>
      </tp>
      <tp>
        <v>82.88</v>
        <stp/>
        <stp>Last</stp>
        <stp>VLO</stp>
        <tr r="B468" s="1"/>
      </tp>
      <tp>
        <v>82.88</v>
        <stp/>
        <stp>Mark</stp>
        <stp>VLO</stp>
        <tr r="P468" s="1"/>
      </tp>
      <tp>
        <v>123.04</v>
        <stp/>
        <stp>Last</stp>
        <stp>VMC</stp>
        <tr r="B469" s="1"/>
      </tp>
      <tp>
        <v>94.79</v>
        <stp/>
        <stp>OPEN</stp>
        <stp>DLTR</stp>
        <tr r="K141" s="1"/>
      </tp>
      <tp>
        <v>23.94</v>
        <stp/>
        <stp>OPEN</stp>
        <stp>ALTR</stp>
        <tr r="K30" s="1"/>
      </tp>
      <tp>
        <v>0</v>
        <stp/>
        <stp>OPEN</stp>
        <stp>LLTC</stp>
        <tr r="K275" s="1"/>
      </tp>
      <tp>
        <v>67.394999999999996</v>
        <stp/>
        <stp>52LOW</stp>
        <stp>ETR</stp>
        <tr r="O171" s="1"/>
      </tp>
      <tp>
        <v>63.94</v>
        <stp/>
        <stp>52LOW</stp>
        <stp>ETN</stp>
        <tr r="O170" s="1"/>
      </tp>
      <tp>
        <v>62.64</v>
        <stp/>
        <stp>HIGH</stp>
        <stp>MNST</stp>
        <tr r="L306" s="1"/>
      </tp>
      <tp>
        <v>26.42</v>
        <stp/>
        <stp>HIGH</stp>
        <stp>JNPR</stp>
        <tr r="L254" s="1"/>
      </tp>
      <tp>
        <v>109.03</v>
        <stp/>
        <stp>Mark</stp>
        <stp>VAR</stp>
        <tr r="P465" s="1"/>
      </tp>
      <tp>
        <v>109.03</v>
        <stp/>
        <stp>Last</stp>
        <stp>VAR</stp>
        <tr r="B465" s="1"/>
      </tp>
      <tp>
        <v>98.92</v>
        <stp/>
        <stp>OPEN</stp>
        <stp>DLPH</stp>
        <tr r="K140" s="1"/>
      </tp>
      <tp>
        <v>70.81</v>
        <stp/>
        <stp>Last</stp>
        <stp>VFC</stp>
        <tr r="B466" s="1"/>
      </tp>
      <tp>
        <v>70.81</v>
        <stp/>
        <stp>Mark</stp>
        <stp>VFC</stp>
        <tr r="P466" s="1"/>
      </tp>
      <tp>
        <v>58.28</v>
        <stp/>
        <stp>52LOW</stp>
        <stp>EQR</stp>
        <tr r="O165" s="1"/>
      </tp>
      <tp>
        <v>49.63</v>
        <stp/>
        <stp>52LOW</stp>
        <stp>EQT</stp>
        <tr r="O166" s="1"/>
      </tp>
      <tp>
        <v>156.709</v>
        <stp/>
        <stp>HIGH</stp>
        <stp>INTU</stp>
        <tr r="L240" s="1"/>
      </tp>
      <tp>
        <v>45.62</v>
        <stp/>
        <stp>HIGH</stp>
        <stp>INTC</stp>
        <tr r="L239" s="1"/>
      </tp>
      <tp>
        <v>4.0999999999999996</v>
        <stp/>
        <stp>52LOW</stp>
        <stp>ESV</stp>
        <tr r="O168" s="1"/>
      </tp>
      <tp>
        <v>86.266599999999997</v>
        <stp/>
        <stp>52HIGH</stp>
        <stp>GILD</stp>
        <tr r="N200" s="1"/>
      </tp>
      <tp>
        <v>48.33</v>
        <stp/>
        <stp>52HIGH</stp>
        <stp>ZION</stp>
        <tr r="N502" s="1"/>
      </tp>
      <tp>
        <v>81.98</v>
        <stp/>
        <stp>52HIGH</stp>
        <stp>CINF</stp>
        <tr r="N97" s="1"/>
      </tp>
      <tp>
        <v>348.84</v>
        <stp/>
        <stp>52HIGH</stp>
        <stp>BIIB</stp>
        <tr r="N65" s="1"/>
      </tp>
      <tp>
        <v>6.4958999999999998</v>
        <stp/>
        <stp>52HIGH</stp>
        <stp>LIFE</stp>
        <tr r="N273" s="1"/>
      </tp>
      <tp>
        <v>46.72</v>
        <stp/>
        <stp>52HIGH</stp>
        <stp>VIAB</stp>
        <tr r="N467" s="1"/>
      </tp>
      <tp>
        <v>140.03</v>
        <stp/>
        <stp>52HIGH</stp>
        <stp>SIAL</stp>
        <tr r="N410" s="1"/>
      </tp>
      <tp>
        <v>29.39</v>
        <stp/>
        <stp>52HIGH</stp>
        <stp>FITB</stp>
        <tr r="N186" s="1"/>
      </tp>
      <tp>
        <v>130.19999999999999</v>
        <stp/>
        <stp>52HIGH</stp>
        <stp>FISV</stp>
        <tr r="N185" s="1"/>
      </tp>
      <tp>
        <v>108.76</v>
        <stp/>
        <stp>Mark</stp>
        <stp>WYN</stp>
        <tr r="P490" s="1"/>
      </tp>
      <tp>
        <v>0.91479999999999995</v>
        <stp/>
        <stp>52LOW</stp>
        <stp>DNR</stp>
        <tr r="O143" s="1"/>
      </tp>
      <tp>
        <v>100.46</v>
        <stp/>
        <stp>52LOW</stp>
        <stp>DNB</stp>
        <tr r="O142" s="1"/>
      </tp>
      <tp>
        <v>51.57</v>
        <stp/>
        <stp>52LOW</stp>
        <stp>DOW</stp>
        <tr r="O146" s="1"/>
      </tp>
      <tp>
        <v>68.099999999999994</v>
        <stp/>
        <stp>52LOW</stp>
        <stp>DOV</stp>
        <tr r="O145" s="1"/>
      </tp>
      <tp>
        <v>108.76</v>
        <stp/>
        <stp>Last</stp>
        <stp>WYN</stp>
        <tr r="B490" s="1"/>
      </tp>
      <tp>
        <v>76.27</v>
        <stp/>
        <stp>52LOW</stp>
        <stp>DHR</stp>
        <tr r="O137" s="1"/>
      </tp>
      <tp>
        <v>27.145</v>
        <stp/>
        <stp>52LOW</stp>
        <stp>DHI</stp>
        <tr r="O136" s="1"/>
      </tp>
      <tp>
        <v>1034.42</v>
        <stp/>
        <stp>HIGH</stp>
        <stp>GOOG</stp>
        <tr r="L205" s="1"/>
      </tp>
      <tp>
        <v>96.2</v>
        <stp/>
        <stp>52LOW</stp>
        <stp>DIS</stp>
        <tr r="O138" s="1"/>
      </tp>
      <tp t="s">
        <v>N/A</v>
        <stp/>
        <stp>HIGH</stp>
        <stp>MOLX</stp>
        <tr r="L308" s="1"/>
      </tp>
      <tp>
        <v>57.5</v>
        <stp/>
        <stp>52LOW</stp>
        <stp>DFS</stp>
        <tr r="O133" s="1"/>
      </tp>
      <tp>
        <v>12.35</v>
        <stp/>
        <stp>Last</stp>
        <stp>WPX</stp>
        <tr r="B487" s="1"/>
      </tp>
      <tp t="s">
        <v>N/A</v>
        <stp/>
        <stp>Last</stp>
        <stp>WPO</stp>
        <tr r="B486" s="1"/>
      </tp>
      <tp>
        <v>170.67</v>
        <stp/>
        <stp>OPEN</stp>
        <stp>AMGN</stp>
        <tr r="K34" s="1"/>
      </tp>
      <tp>
        <v>84.47</v>
        <stp/>
        <stp>52LOW</stp>
        <stp>DGX</stp>
        <tr r="O135" s="1"/>
      </tp>
      <tp t="s">
        <v>N/A</v>
        <stp/>
        <stp>Mark</stp>
        <stp>WPO</stp>
        <tr r="P486" s="1"/>
      </tp>
      <tp>
        <v>12.35</v>
        <stp/>
        <stp>Mark</stp>
        <stp>WPX</stp>
        <tr r="P487" s="1"/>
      </tp>
      <tp>
        <v>60.46</v>
        <stp/>
        <stp>OPEN</stp>
        <stp>AMAT</stp>
        <tr r="K32" s="1"/>
      </tp>
      <tp>
        <v>165.4</v>
        <stp/>
        <stp>Last</stp>
        <stp>WHR</stp>
        <tr r="B480" s="1"/>
      </tp>
      <tp>
        <v>2.23</v>
        <stp/>
        <stp>Mark</stp>
        <stp>WIN</stp>
        <tr r="P481" s="1"/>
      </tp>
      <tp>
        <v>2.23</v>
        <stp/>
        <stp>Last</stp>
        <stp>WIN</stp>
        <tr r="B481" s="1"/>
      </tp>
      <tp>
        <v>165.4</v>
        <stp/>
        <stp>Mark</stp>
        <stp>WHR</stp>
        <tr r="P480" s="1"/>
      </tp>
      <tp>
        <v>1138.28</v>
        <stp/>
        <stp>OPEN</stp>
        <stp>AMZN</stp>
        <tr r="K37" s="1"/>
      </tp>
      <tp>
        <v>141.27000000000001</v>
        <stp/>
        <stp>Last</stp>
        <stp>WLP</stp>
        <tr r="B482" s="1"/>
      </tp>
      <tp>
        <v>27.26</v>
        <stp/>
        <stp>Mark</stp>
        <stp>WMB</stp>
        <tr r="P484" s="1"/>
      </tp>
      <tp>
        <v>97.41</v>
        <stp/>
        <stp>Mark</stp>
        <stp>WMT</stp>
        <tr r="P485" s="1"/>
      </tp>
      <tp>
        <v>97.47</v>
        <stp/>
        <stp>Last</stp>
        <stp>WMT</stp>
        <tr r="B485" s="1"/>
      </tp>
      <tp>
        <v>27.26</v>
        <stp/>
        <stp>Last</stp>
        <stp>WMB</stp>
        <tr r="B484" s="1"/>
      </tp>
      <tp>
        <v>141.27000000000001</v>
        <stp/>
        <stp>Mark</stp>
        <stp>WLP</stp>
        <tr r="P482" s="1"/>
      </tp>
      <tp t="s">
        <v>N/A</v>
        <stp/>
        <stp>52LOW</stp>
        <stp>DTV</stp>
        <tr r="O150" s="1"/>
      </tp>
      <tp>
        <v>90.91</v>
        <stp/>
        <stp>52LOW</stp>
        <stp>DTE</stp>
        <tr r="O149" s="1"/>
      </tp>
      <tp>
        <v>73.94</v>
        <stp/>
        <stp>HIGH</stp>
        <stp>ROST</stp>
        <tr r="L398" s="1"/>
      </tp>
      <tp>
        <v>172.2</v>
        <stp/>
        <stp>HIGH</stp>
        <stp>COST</stp>
        <tr r="L114" s="1"/>
      </tp>
      <tp>
        <v>8.0399999999999991</v>
        <stp/>
        <stp>HIGH</stp>
        <stp>FOSL</stp>
        <tr r="L191" s="1"/>
      </tp>
      <tp>
        <v>72.34</v>
        <stp/>
        <stp>52LOW</stp>
        <stp>DUK</stp>
        <tr r="O151" s="1"/>
      </tp>
      <tp>
        <v>126.81</v>
        <stp/>
        <stp>Mark</stp>
        <stp>WAG</stp>
        <tr r="P474" s="1"/>
      </tp>
      <tp>
        <v>28.794699999999999</v>
        <stp/>
        <stp>52LOW</stp>
        <stp>DVN</stp>
        <tr r="O153" s="1"/>
      </tp>
      <tp>
        <v>52.51</v>
        <stp/>
        <stp>52LOW</stp>
        <stp>DVA</stp>
        <tr r="O152" s="1"/>
      </tp>
      <tp>
        <v>198.21</v>
        <stp/>
        <stp>Mark</stp>
        <stp>WAT</stp>
        <tr r="P475" s="1"/>
      </tp>
      <tp>
        <v>198.21</v>
        <stp/>
        <stp>Last</stp>
        <stp>WAT</stp>
        <tr r="B475" s="1"/>
      </tp>
      <tp>
        <v>126.81</v>
        <stp/>
        <stp>Last</stp>
        <stp>WAG</stp>
        <tr r="B474" s="1"/>
      </tp>
      <tp>
        <v>82.24</v>
        <stp/>
        <stp>52LOW</stp>
        <stp>DPS</stp>
        <tr r="O147" s="1"/>
      </tp>
      <tp>
        <v>54.15</v>
        <stp/>
        <stp>Last</stp>
        <stp>WFC</stp>
        <tr r="B478" s="1"/>
      </tp>
      <tp>
        <v>0</v>
        <stp/>
        <stp>Last</stp>
        <stp>WFM</stp>
        <tr r="B479" s="1"/>
      </tp>
      <tp>
        <v>42</v>
        <stp/>
        <stp>Mark</stp>
        <stp>WFM</stp>
        <tr r="P479" s="1"/>
      </tp>
      <tp>
        <v>54.15</v>
        <stp/>
        <stp>Mark</stp>
        <stp>WFC</stp>
        <tr r="P478" s="1"/>
      </tp>
      <tp>
        <v>68.19</v>
        <stp/>
        <stp>Mark</stp>
        <stp>WEC</stp>
        <tr r="P477" s="1"/>
      </tp>
      <tp>
        <v>70.97</v>
        <stp/>
        <stp>52LOW</stp>
        <stp>DRI</stp>
        <tr r="O148" s="1"/>
      </tp>
      <tp>
        <v>91.3</v>
        <stp/>
        <stp>Last</stp>
        <stp>WDC</stp>
        <tr r="B476" s="1"/>
      </tp>
      <tp>
        <v>91.3</v>
        <stp/>
        <stp>Mark</stp>
        <stp>WDC</stp>
        <tr r="P476" s="1"/>
      </tp>
      <tp>
        <v>68.19</v>
        <stp/>
        <stp>Last</stp>
        <stp>WEC</stp>
        <tr r="B477" s="1"/>
      </tp>
      <tp t="s">
        <v>N/A</v>
        <stp/>
        <stp>52HIGH</stp>
        <stp>YHOO</stp>
        <tr r="N500" s="1"/>
      </tp>
      <tp>
        <v>81.349999999999994</v>
        <stp/>
        <stp>52HIGH</stp>
        <stp>CHRW</stp>
        <tr r="N95" s="1"/>
      </tp>
      <tp>
        <v>36.270000000000003</v>
        <stp/>
        <stp>ASK</stp>
        <stp>CMCSA</stp>
        <tr r="G102" s="1"/>
      </tp>
      <tp>
        <v>23.48</v>
        <stp/>
        <stp>52LOW</stp>
        <stp>GLW</stp>
        <tr r="O202" s="1"/>
      </tp>
      <tp>
        <v>15.85</v>
        <stp/>
        <stp>52LOW</stp>
        <stp>GME</stp>
        <tr r="O203" s="1"/>
      </tp>
      <tp>
        <v>52.97</v>
        <stp/>
        <stp>Last</stp>
        <stp>TXT</stp>
        <tr r="B455" s="1"/>
      </tp>
      <tp>
        <v>44.52</v>
        <stp/>
        <stp>Mark</stp>
        <stp>TYC</stp>
        <tr r="P456" s="1"/>
      </tp>
      <tp>
        <v>3.12</v>
        <stp/>
        <stp>52LOW</stp>
        <stp>GNW</stp>
        <tr r="O204" s="1"/>
      </tp>
      <tp>
        <v>97.74</v>
        <stp/>
        <stp>Last</stp>
        <stp>TXN</stp>
        <tr r="B454" s="1"/>
      </tp>
      <tp>
        <v>47.48</v>
        <stp/>
        <stp>HIGH</stp>
        <stp>FLIR</stp>
        <tr r="L187" s="1"/>
      </tp>
      <tp>
        <v>97.74</v>
        <stp/>
        <stp>Mark</stp>
        <stp>TXN</stp>
        <tr r="P454" s="1"/>
      </tp>
      <tp>
        <v>0</v>
        <stp/>
        <stp>Last</stp>
        <stp>TYC</stp>
        <tr r="B456" s="1"/>
      </tp>
      <tp>
        <v>52.97</v>
        <stp/>
        <stp>Mark</stp>
        <stp>TXT</stp>
        <tr r="P455" s="1"/>
      </tp>
      <tp>
        <v>72.995000000000005</v>
        <stp/>
        <stp>HIGH</stp>
        <stp>XLNX</stp>
        <tr r="L495" s="1"/>
      </tp>
      <tp>
        <v>49.65</v>
        <stp/>
        <stp>52LOW</stp>
        <stp>GIS</stp>
        <tr r="O201" s="1"/>
      </tp>
      <tp>
        <v>0</v>
        <stp/>
        <stp>OPEN</stp>
        <stp>SNDK</stp>
        <tr r="K415" s="1"/>
      </tp>
      <tp>
        <v>129.91999999999999</v>
        <stp/>
        <stp>Last</stp>
        <stp>TRV</stp>
        <tr r="B448" s="1"/>
      </tp>
      <tp>
        <v>99.53</v>
        <stp/>
        <stp>Mark</stp>
        <stp>TSO</stp>
        <tr r="P450" s="1"/>
      </tp>
      <tp>
        <v>77.97</v>
        <stp/>
        <stp>Mark</stp>
        <stp>TSN</stp>
        <tr r="P449" s="1"/>
      </tp>
      <tp>
        <v>73.78</v>
        <stp/>
        <stp>Mark</stp>
        <stp>TSS</stp>
        <tr r="P451" s="1"/>
      </tp>
      <tp>
        <v>73.78</v>
        <stp/>
        <stp>Last</stp>
        <stp>TSS</stp>
        <tr r="B451" s="1"/>
      </tp>
      <tp>
        <v>77.97</v>
        <stp/>
        <stp>Last</stp>
        <stp>TSN</stp>
        <tr r="B449" s="1"/>
      </tp>
      <tp>
        <v>99.53</v>
        <stp/>
        <stp>Last</stp>
        <stp>TSO</stp>
        <tr r="B450" s="1"/>
      </tp>
      <tp>
        <v>129.91999999999999</v>
        <stp/>
        <stp>Mark</stp>
        <stp>TRV</stp>
        <tr r="P448" s="1"/>
      </tp>
      <tp>
        <v>106.52</v>
        <stp/>
        <stp>HIGH</stp>
        <stp>KLAC</stp>
        <tr r="L261" s="1"/>
      </tp>
      <tp>
        <v>206.1</v>
        <stp/>
        <stp>Mark</stp>
        <stp>TWC</stp>
        <tr r="P452" s="1"/>
      </tp>
      <tp>
        <v>88.72</v>
        <stp/>
        <stp>Mark</stp>
        <stp>TWX</stp>
        <tr r="P453" s="1"/>
      </tp>
      <tp>
        <v>46.85</v>
        <stp/>
        <stp>52LOW</stp>
        <stp>GAS</stp>
        <tr r="O196" s="1"/>
      </tp>
      <tp>
        <v>88.72</v>
        <stp/>
        <stp>Last</stp>
        <stp>TWX</stp>
        <tr r="B453" s="1"/>
      </tp>
      <tp>
        <v>0</v>
        <stp/>
        <stp>Last</stp>
        <stp>TWC</stp>
        <tr r="B452" s="1"/>
      </tp>
      <tp>
        <v>7.36</v>
        <stp/>
        <stp>52LOW</stp>
        <stp>GCI</stp>
        <tr r="O197" s="1"/>
      </tp>
      <tp>
        <v>71.02</v>
        <stp/>
        <stp>Last</stp>
        <stp>TJX</stp>
        <tr r="B443" s="1"/>
      </tp>
      <tp>
        <v>71.02</v>
        <stp/>
        <stp>Mark</stp>
        <stp>TJX</stp>
        <tr r="P443" s="1"/>
      </tp>
      <tp>
        <v>111.27</v>
        <stp/>
        <stp>HIGH</stp>
        <stp>ALXN</stp>
        <tr r="L31" s="1"/>
      </tp>
      <tp>
        <v>94.83</v>
        <stp/>
        <stp>Mark</stp>
        <stp>TIF</stp>
        <tr r="P442" s="1"/>
      </tp>
      <tp>
        <v>13.24</v>
        <stp/>
        <stp>Last</stp>
        <stp>THC</stp>
        <tr r="B441" s="1"/>
      </tp>
      <tp>
        <v>13.24</v>
        <stp/>
        <stp>Mark</stp>
        <stp>THC</stp>
        <tr r="P441" s="1"/>
      </tp>
      <tp>
        <v>94.83</v>
        <stp/>
        <stp>Last</stp>
        <stp>TIF</stp>
        <tr r="B442" s="1"/>
      </tp>
      <tp>
        <v>85.44</v>
        <stp/>
        <stp>Mark</stp>
        <stp>TMK</stp>
        <tr r="P444" s="1"/>
      </tp>
      <tp>
        <v>190.17</v>
        <stp/>
        <stp>Mark</stp>
        <stp>TMO</stp>
        <tr r="P445" s="1"/>
      </tp>
      <tp>
        <v>190.17</v>
        <stp/>
        <stp>Last</stp>
        <stp>TMO</stp>
        <tr r="B445" s="1"/>
      </tp>
      <tp>
        <v>85.44</v>
        <stp/>
        <stp>Last</stp>
        <stp>TMK</stp>
        <tr r="B444" s="1"/>
      </tp>
      <tp>
        <v>155.99</v>
        <stp/>
        <stp>OPEN</stp>
        <stp>INTU</stp>
        <tr r="K240" s="1"/>
      </tp>
      <tp>
        <v>45.5</v>
        <stp/>
        <stp>OPEN</stp>
        <stp>INTC</stp>
        <tr r="K239" s="1"/>
      </tp>
      <tp>
        <v>99.28</v>
        <stp/>
        <stp>HIGH</stp>
        <stp>DLPH</stp>
        <tr r="L140" s="1"/>
      </tp>
      <tp>
        <v>79.680000000000007</v>
        <stp/>
        <stp>Mark</stp>
        <stp>TAP</stp>
        <tr r="P434" s="1"/>
      </tp>
      <tp>
        <v>79.680000000000007</v>
        <stp/>
        <stp>Last</stp>
        <stp>TAP</stp>
        <tr r="B434" s="1"/>
      </tp>
      <tp>
        <v>155</v>
        <stp/>
        <stp>52LOW</stp>
        <stp>GWW</stp>
        <tr r="O211" s="1"/>
      </tp>
      <tp>
        <v>26.13</v>
        <stp/>
        <stp>OPEN</stp>
        <stp>JNPR</stp>
        <tr r="K254" s="1"/>
      </tp>
      <tp>
        <v>21.02</v>
        <stp/>
        <stp>52LOW</stp>
        <stp>GPS</stp>
        <tr r="O207" s="1"/>
      </tp>
      <tp>
        <v>79.86</v>
        <stp/>
        <stp>52LOW</stp>
        <stp>GPC</stp>
        <tr r="O206" s="1"/>
      </tp>
      <tp>
        <v>58.1</v>
        <stp/>
        <stp>Mark</stp>
        <stp>TGT</stp>
        <tr r="P440" s="1"/>
      </tp>
      <tp>
        <v>58.14</v>
        <stp/>
        <stp>Last</stp>
        <stp>TGT</stp>
        <tr r="B440" s="1"/>
      </tp>
      <tp>
        <v>95.22</v>
        <stp/>
        <stp>HIGH</stp>
        <stp>DLTR</stp>
        <tr r="L141" s="1"/>
      </tp>
      <tp>
        <v>24.33</v>
        <stp/>
        <stp>HIGH</stp>
        <stp>ALTR</stp>
        <tr r="L30" s="1"/>
      </tp>
      <tp>
        <v>0</v>
        <stp/>
        <stp>HIGH</stp>
        <stp>LLTC</stp>
        <tr r="L275" s="1"/>
      </tp>
      <tp>
        <v>95.04</v>
        <stp/>
        <stp>Mark</stp>
        <stp>TEL</stp>
        <tr r="P438" s="1"/>
      </tp>
      <tp>
        <v>100.03</v>
        <stp/>
        <stp>Mark</stp>
        <stp>TEG</stp>
        <tr r="P437" s="1"/>
      </tp>
      <tp>
        <v>35.83</v>
        <stp/>
        <stp>Last</stp>
        <stp>TDC</stp>
        <tr r="B435" s="1"/>
      </tp>
      <tp>
        <v>43.57</v>
        <stp/>
        <stp>Mark</stp>
        <stp>TER</stp>
        <tr r="P439" s="1"/>
      </tp>
      <tp>
        <v>61.98</v>
        <stp/>
        <stp>OPEN</stp>
        <stp>MNST</stp>
        <tr r="K306" s="1"/>
      </tp>
      <tp>
        <v>43.57</v>
        <stp/>
        <stp>Last</stp>
        <stp>TER</stp>
        <tr r="B439" s="1"/>
      </tp>
      <tp>
        <v>35.83</v>
        <stp/>
        <stp>Mark</stp>
        <stp>TDC</stp>
        <tr r="P435" s="1"/>
      </tp>
      <tp>
        <v>0</v>
        <stp/>
        <stp>Last</stp>
        <stp>TEG</stp>
        <tr r="B437" s="1"/>
      </tp>
      <tp>
        <v>95.04</v>
        <stp/>
        <stp>Last</stp>
        <stp>TEL</stp>
        <tr r="B438" s="1"/>
      </tp>
      <tp>
        <v>71.64</v>
        <stp/>
        <stp>52HIGH</stp>
        <stp>AKAM</stp>
        <tr r="N28" s="1"/>
      </tp>
      <tp>
        <v>0</v>
        <stp/>
        <stp>Mark</stp>
        <stp>BRK-B</stp>
        <tr r="P73" s="1"/>
      </tp>
      <tp t="s">
        <v>N/A</v>
        <stp/>
        <stp>OPEN</stp>
        <stp>MOLX</stp>
        <tr r="K308" s="1"/>
      </tp>
      <tp>
        <v>37.51</v>
        <stp/>
        <stp>52LOW</stp>
        <stp>FLS</stp>
        <tr r="O189" s="1"/>
      </tp>
      <tp>
        <v>37.0351</v>
        <stp/>
        <stp>52LOW</stp>
        <stp>FLR</stp>
        <tr r="O188" s="1"/>
      </tp>
      <tp>
        <v>53.31</v>
        <stp/>
        <stp>52LOW</stp>
        <stp>FMC</stp>
        <tr r="O190" s="1"/>
      </tp>
      <tp>
        <v>1034.01</v>
        <stp/>
        <stp>OPEN</stp>
        <stp>GOOG</stp>
        <tr r="K205" s="1"/>
      </tp>
      <tp>
        <v>15.84</v>
        <stp/>
        <stp>52LOW</stp>
        <stp>FHN</stp>
        <tr r="O183" s="1"/>
      </tp>
      <tp>
        <v>73.97</v>
        <stp/>
        <stp>52LOW</stp>
        <stp>FIS</stp>
        <tr r="O184" s="1"/>
      </tp>
      <tp>
        <v>182.75</v>
        <stp/>
        <stp>52LOW</stp>
        <stp>FDX</stp>
        <tr r="O180" s="1"/>
      </tp>
      <tp>
        <v>51.88</v>
        <stp/>
        <stp>Mark</stp>
        <stp>USB</stp>
        <tr r="P462" s="1"/>
      </tp>
      <tp>
        <v>0</v>
        <stp/>
        <stp>52LOW</stp>
        <stp>FDO</stp>
        <tr r="O179" s="1"/>
      </tp>
      <tp>
        <v>51.88</v>
        <stp/>
        <stp>Last</stp>
        <stp>USB</stp>
        <tr r="B462" s="1"/>
      </tp>
      <tp>
        <v>112.94</v>
        <stp/>
        <stp>Last</stp>
        <stp>UPS</stp>
        <tr r="B460" s="1"/>
      </tp>
      <tp>
        <v>60.89</v>
        <stp/>
        <stp>HIGH</stp>
        <stp>AMAT</stp>
        <tr r="L32" s="1"/>
      </tp>
      <tp>
        <v>112.94</v>
        <stp/>
        <stp>Mark</stp>
        <stp>UPS</stp>
        <tr r="P460" s="1"/>
      </tp>
      <tp>
        <v>171.09</v>
        <stp/>
        <stp>HIGH</stp>
        <stp>AMGN</stp>
        <tr r="L34" s="1"/>
      </tp>
      <tp>
        <v>116.53</v>
        <stp/>
        <stp>Last</stp>
        <stp>UTX</stp>
        <tr r="B463" s="1"/>
      </tp>
      <tp>
        <v>11.05</v>
        <stp/>
        <stp>52LOW</stp>
        <stp>FCX</stp>
        <tr r="O178" s="1"/>
      </tp>
      <tp>
        <v>116.53</v>
        <stp/>
        <stp>Mark</stp>
        <stp>UTX</stp>
        <tr r="P463" s="1"/>
      </tp>
      <tp>
        <v>1138.8</v>
        <stp/>
        <stp>HIGH</stp>
        <stp>AMZN</stp>
        <tr r="L37" s="1"/>
      </tp>
      <tp>
        <v>115.63</v>
        <stp/>
        <stp>Last</stp>
        <stp>UNP</stp>
        <tr r="B459" s="1"/>
      </tp>
      <tp>
        <v>53.46</v>
        <stp/>
        <stp>Last</stp>
        <stp>UNM</stp>
        <tr r="B458" s="1"/>
      </tp>
      <tp>
        <v>209.9</v>
        <stp/>
        <stp>Last</stp>
        <stp>UNH</stp>
        <tr r="B457" s="1"/>
      </tp>
      <tp>
        <v>209.98</v>
        <stp/>
        <stp>Mark</stp>
        <stp>UNH</stp>
        <tr r="P457" s="1"/>
      </tp>
      <tp>
        <v>53.46</v>
        <stp/>
        <stp>Mark</stp>
        <stp>UNM</stp>
        <tr r="P458" s="1"/>
      </tp>
      <tp>
        <v>115.63</v>
        <stp/>
        <stp>Mark</stp>
        <stp>UNP</stp>
        <tr r="P459" s="1"/>
      </tp>
      <tp>
        <v>6.25</v>
        <stp/>
        <stp>52LOW</stp>
        <stp>FTR</stp>
        <tr r="O195" s="1"/>
      </tp>
      <tp>
        <v>24.53</v>
        <stp/>
        <stp>52LOW</stp>
        <stp>FTI</stp>
        <tr r="O194" s="1"/>
      </tp>
      <tp t="s">
        <v>N/A</v>
        <stp/>
        <stp>52LOW</stp>
        <stp>FRX</stp>
        <tr r="O192" s="1"/>
      </tp>
      <tp>
        <v>171</v>
        <stp/>
        <stp>OPEN</stp>
        <stp>COST</stp>
        <tr r="K114" s="1"/>
      </tp>
      <tp>
        <v>72.13</v>
        <stp/>
        <stp>OPEN</stp>
        <stp>ROST</stp>
        <tr r="K398" s="1"/>
      </tp>
      <tp>
        <v>7.83</v>
        <stp/>
        <stp>OPEN</stp>
        <stp>FOSL</stp>
        <tr r="K191" s="1"/>
      </tp>
      <tp>
        <v>69.040000000000006</v>
        <stp/>
        <stp>52LOW</stp>
        <stp>ALL</stp>
        <tr r="O29" s="1"/>
      </tp>
      <tp>
        <v>109.19</v>
        <stp/>
        <stp>52LOW</stp>
        <stp>AMP</stp>
        <tr r="O35" s="1"/>
      </tp>
      <tp>
        <v>99.72</v>
        <stp/>
        <stp>52LOW</stp>
        <stp>AMT</stp>
        <tr r="O36" s="1"/>
      </tp>
      <tp>
        <v>7.07</v>
        <stp/>
        <stp>52LOW</stp>
        <stp>AMD</stp>
        <tr r="O33" s="1"/>
      </tp>
      <tp>
        <v>8.81</v>
        <stp/>
        <stp>52LOW</stp>
        <stp>ANF</stp>
        <tr r="O39" s="1"/>
      </tp>
      <tp>
        <v>0</v>
        <stp/>
        <stp>OPEN</stp>
        <stp>YHOO</stp>
        <tr r="K500" s="1"/>
      </tp>
      <tp>
        <v>109.5</v>
        <stp/>
        <stp>52LOW</stp>
        <stp>AON</stp>
        <tr r="O40" s="1"/>
      </tp>
      <tp>
        <v>85.07</v>
        <stp/>
        <stp>52LOW</stp>
        <stp>AIZ</stp>
        <tr r="O27" s="1"/>
      </tp>
      <tp>
        <v>39.659999999999997</v>
        <stp/>
        <stp>52LOW</stp>
        <stp>AIV</stp>
        <tr r="O26" s="1"/>
      </tp>
      <tp>
        <v>57.9</v>
        <stp/>
        <stp>52LOW</stp>
        <stp>AIG</stp>
        <tr r="O25" s="1"/>
      </tp>
      <tp>
        <v>91.602500000000006</v>
        <stp/>
        <stp>52LOW</stp>
        <stp>ADP</stp>
        <tr r="O16" s="1"/>
      </tp>
      <tp>
        <v>0</v>
        <stp/>
        <stp>52LOW</stp>
        <stp>ADT</stp>
        <tr r="O18" s="1"/>
      </tp>
      <tp>
        <v>62.44</v>
        <stp/>
        <stp>Mark</stp>
        <stp>RSG</stp>
        <tr r="P400" s="1"/>
      </tp>
      <tp>
        <v>67.38</v>
        <stp/>
        <stp>52LOW</stp>
        <stp>ADI</stp>
        <tr r="O14" s="1"/>
      </tp>
      <tp>
        <v>38.590000000000003</v>
        <stp/>
        <stp>52LOW</stp>
        <stp>ADM</stp>
        <tr r="O15" s="1"/>
      </tp>
      <tp>
        <v>18.03</v>
        <stp/>
        <stp>Last</stp>
        <stp>RRC</stp>
        <tr r="B399" s="1"/>
      </tp>
      <tp>
        <v>57.89</v>
        <stp/>
        <stp>52LOW</stp>
        <stp>AEP</stp>
        <tr r="O20" s="1"/>
      </tp>
      <tp>
        <v>10</v>
        <stp/>
        <stp>52LOW</stp>
        <stp>AES</stp>
        <tr r="O21" s="1"/>
      </tp>
      <tp>
        <v>18.03</v>
        <stp/>
        <stp>Mark</stp>
        <stp>RRC</stp>
        <tr r="P399" s="1"/>
      </tp>
      <tp>
        <v>116.04</v>
        <stp/>
        <stp>52LOW</stp>
        <stp>AET</stp>
        <tr r="O22" s="1"/>
      </tp>
      <tp>
        <v>62.44</v>
        <stp/>
        <stp>Last</stp>
        <stp>RSG</stp>
        <tr r="B400" s="1"/>
      </tp>
      <tp>
        <v>48.19</v>
        <stp/>
        <stp>52LOW</stp>
        <stp>AEE</stp>
        <tr r="O19" s="1"/>
      </tp>
      <tp>
        <v>66.5</v>
        <stp/>
        <stp>52LOW</stp>
        <stp>AFL</stp>
        <tr r="O23" s="1"/>
      </tp>
      <tp>
        <v>169.61</v>
        <stp/>
        <stp>52LOW</stp>
        <stp>AGN</stp>
        <tr r="O24" s="1"/>
      </tp>
      <tp>
        <v>37.380000000000003</v>
        <stp/>
        <stp>52LOW</stp>
        <stp>ABT</stp>
        <tr r="O9" s="1"/>
      </tp>
      <tp>
        <v>182.85</v>
        <stp/>
        <stp>Last</stp>
        <stp>RTN</stp>
        <tr r="B401" s="1"/>
      </tp>
      <tp>
        <v>71.900000000000006</v>
        <stp/>
        <stp>52LOW</stp>
        <stp>ABC</stp>
        <tr r="O8" s="1"/>
      </tp>
      <tp>
        <v>182.85</v>
        <stp/>
        <stp>Mark</stp>
        <stp>RTN</stp>
        <tr r="P401" s="1"/>
      </tp>
      <tp>
        <v>0</v>
        <stp/>
        <stp>52LOW</stp>
        <stp>ACT</stp>
        <tr r="O12" s="1"/>
      </tp>
      <tp>
        <v>112.31</v>
        <stp/>
        <stp>52LOW</stp>
        <stp>ACN</stp>
        <tr r="O11" s="1"/>
      </tp>
      <tp>
        <v>96</v>
        <stp/>
        <stp>52LOW</stp>
        <stp>ACE</stp>
        <tr r="O10" s="1"/>
      </tp>
      <tp>
        <v>125.95</v>
        <stp/>
        <stp>Last</stp>
        <stp>RHT</stp>
        <tr r="B394" s="1"/>
      </tp>
      <tp>
        <v>54.9</v>
        <stp/>
        <stp>Last</stp>
        <stp>RHI</stp>
        <tr r="B393" s="1"/>
      </tp>
      <tp>
        <v>54.9</v>
        <stp/>
        <stp>Mark</stp>
        <stp>RHI</stp>
        <tr r="P393" s="1"/>
      </tp>
      <tp>
        <v>125.95</v>
        <stp/>
        <stp>Mark</stp>
        <stp>RHT</stp>
        <tr r="P394" s="1"/>
      </tp>
      <tp>
        <v>194.36</v>
        <stp/>
        <stp>Mark</stp>
        <stp>ROK</stp>
        <tr r="P396" s="1"/>
      </tp>
      <tp>
        <v>70.77</v>
        <stp/>
        <stp>52LOW</stp>
        <stp>AXP</stp>
        <tr r="O51" s="1"/>
      </tp>
      <tp>
        <v>256.33999999999997</v>
        <stp/>
        <stp>Mark</stp>
        <stp>ROP</stp>
        <tr r="P397" s="1"/>
      </tp>
      <tp>
        <v>256.33999999999997</v>
        <stp/>
        <stp>Last</stp>
        <stp>ROP</stp>
        <tr r="B397" s="1"/>
      </tp>
      <tp>
        <v>194.36</v>
        <stp/>
        <stp>Last</stp>
        <stp>ROK</stp>
        <tr r="B396" s="1"/>
      </tp>
      <tp>
        <v>491.13</v>
        <stp/>
        <stp>52LOW</stp>
        <stp>AZO</stp>
        <tr r="O52" s="1"/>
      </tp>
      <tp>
        <v>14.536799999999999</v>
        <stp/>
        <stp>52LOW</stp>
        <stp>ATI</stp>
        <tr r="O47" s="1"/>
      </tp>
      <tp>
        <v>69.53</v>
        <stp/>
        <stp>52LOW</stp>
        <stp>AVY</stp>
        <tr r="O50" s="1"/>
      </tp>
      <tp>
        <v>65.5</v>
        <stp/>
        <stp>Mark</stp>
        <stp>RAI</stp>
        <tr r="P389" s="1"/>
      </tp>
      <tp>
        <v>1.85</v>
        <stp/>
        <stp>52LOW</stp>
        <stp>AVP</stp>
        <tr r="O49" s="1"/>
      </tp>
      <tp>
        <v>158.32</v>
        <stp/>
        <stp>52LOW</stp>
        <stp>AVB</stp>
        <tr r="O48" s="1"/>
      </tp>
      <tp>
        <v>65.400000000000006</v>
        <stp/>
        <stp>Last</stp>
        <stp>RAI</stp>
        <tr r="B389" s="1"/>
      </tp>
      <tp>
        <v>66</v>
        <stp/>
        <stp>52LOW</stp>
        <stp>APH</stp>
        <tr r="O44" s="1"/>
      </tp>
      <tp>
        <v>38.14</v>
        <stp/>
        <stp>52LOW</stp>
        <stp>APA</stp>
        <tr r="O41" s="1"/>
      </tp>
      <tp>
        <v>39.96</v>
        <stp/>
        <stp>52LOW</stp>
        <stp>APC</stp>
        <tr r="O42" s="1"/>
      </tp>
      <tp>
        <v>133.6301</v>
        <stp/>
        <stp>52LOW</stp>
        <stp>APD</stp>
        <tr r="O43" s="1"/>
      </tp>
      <tp>
        <v>78.75</v>
        <stp/>
        <stp>OPEN</stp>
        <stp>CHRW</stp>
        <tr r="K95" s="1"/>
      </tp>
      <tp>
        <v>13.87</v>
        <stp/>
        <stp>Last</stp>
        <stp>RDC</stp>
        <tr r="B390" s="1"/>
      </tp>
      <tp>
        <v>86.09</v>
        <stp/>
        <stp>52LOW</stp>
        <stp>ARG</stp>
        <tr r="O46" s="1"/>
      </tp>
      <tp>
        <v>13.87</v>
        <stp/>
        <stp>Mark</stp>
        <stp>RDC</stp>
        <tr r="P390" s="1"/>
      </tp>
      <tp>
        <v>191.09989999999999</v>
        <stp/>
        <stp>52HIGH</stp>
        <stp>AMGN</stp>
        <tr r="N34" s="1"/>
      </tp>
      <tp>
        <v>58</v>
        <stp/>
        <stp>52HIGH</stp>
        <stp>AMAT</stp>
        <tr r="N32" s="1"/>
      </tp>
      <tp>
        <v>1139.9000000000001</v>
        <stp/>
        <stp>52HIGH</stp>
        <stp>AMZN</stp>
        <tr r="N37" s="1"/>
      </tp>
      <tp>
        <v>72.27</v>
        <stp/>
        <stp>OPEN</stp>
        <stp>GILD</stp>
        <tr r="K200" s="1"/>
      </tp>
      <tp>
        <v>73.92</v>
        <stp/>
        <stp>OPEN</stp>
        <stp>CINF</stp>
        <tr r="K97" s="1"/>
      </tp>
      <tp>
        <v>155.4</v>
        <stp/>
        <stp>Mark</stp>
        <stp>SYK</stp>
        <tr r="P430" s="1"/>
      </tp>
      <tp>
        <v>54.89</v>
        <stp/>
        <stp>Mark</stp>
        <stp>SYY</stp>
        <tr r="P432" s="1"/>
      </tp>
      <tp>
        <v>45.91</v>
        <stp/>
        <stp>OPEN</stp>
        <stp>ZION</stp>
        <tr r="K502" s="1"/>
      </tp>
      <tp>
        <v>54.89</v>
        <stp/>
        <stp>Last</stp>
        <stp>SYY</stp>
        <tr r="B432" s="1"/>
      </tp>
      <tp>
        <v>155.4</v>
        <stp/>
        <stp>Last</stp>
        <stp>SYK</stp>
        <tr r="B430" s="1"/>
      </tp>
      <tp>
        <v>313.47000000000003</v>
        <stp/>
        <stp>OPEN</stp>
        <stp>BIIB</stp>
        <tr r="K65" s="1"/>
      </tp>
      <tp>
        <v>119.51</v>
        <stp/>
        <stp>Last</stp>
        <stp>SRE</stp>
        <tr r="B421" s="1"/>
      </tp>
      <tp>
        <v>119.51</v>
        <stp/>
        <stp>Mark</stp>
        <stp>SRE</stp>
        <tr r="P421" s="1"/>
      </tp>
      <tp>
        <v>3.78</v>
        <stp/>
        <stp>OPEN</stp>
        <stp>LIFE</stp>
        <tr r="K273" s="1"/>
      </tp>
      <tp>
        <v>161.94999999999999</v>
        <stp/>
        <stp>Last</stp>
        <stp>SPG</stp>
        <tr r="B418" s="1"/>
      </tp>
      <tp>
        <v>55.56</v>
        <stp/>
        <stp>HIGH</stp>
        <stp>AKAM</stp>
        <tr r="L28" s="1"/>
      </tp>
      <tp>
        <v>161.94999999999999</v>
        <stp/>
        <stp>Mark</stp>
        <stp>SPG</stp>
        <tr r="P418" s="1"/>
      </tp>
      <tp>
        <v>163.27000000000001</v>
        <stp/>
        <stp>Mark</stp>
        <stp>SWK</stp>
        <tr r="P427" s="1"/>
      </tp>
      <tp>
        <v>6.45</v>
        <stp/>
        <stp>Mark</stp>
        <stp>SWN</stp>
        <tr r="P428" s="1"/>
      </tp>
      <tp>
        <v>110.33</v>
        <stp/>
        <stp>Mark</stp>
        <stp>SWY</stp>
        <tr r="P429" s="1"/>
      </tp>
      <tp>
        <v>23.94</v>
        <stp/>
        <stp>OPEN</stp>
        <stp>VIAB</stp>
        <tr r="K467" s="1"/>
      </tp>
      <tp>
        <v>0</v>
        <stp/>
        <stp>OPEN</stp>
        <stp>SIAL</stp>
        <tr r="K410" s="1"/>
      </tp>
      <tp>
        <v>110.33</v>
        <stp/>
        <stp>Last</stp>
        <stp>SWY</stp>
        <tr r="B429" s="1"/>
      </tp>
      <tp>
        <v>6.45</v>
        <stp/>
        <stp>Last</stp>
        <stp>SWN</stp>
        <tr r="B428" s="1"/>
      </tp>
      <tp>
        <v>163.27000000000001</v>
        <stp/>
        <stp>Last</stp>
        <stp>SWK</stp>
        <tr r="B427" s="1"/>
      </tp>
      <tp>
        <v>92.31</v>
        <stp/>
        <stp>Last</stp>
        <stp>STT</stp>
        <tr r="B424" s="1"/>
      </tp>
      <tp>
        <v>216.29</v>
        <stp/>
        <stp>Last</stp>
        <stp>STZ</stp>
        <tr r="B426" s="1"/>
      </tp>
      <tp>
        <v>39.42</v>
        <stp/>
        <stp>Last</stp>
        <stp>STX</stp>
        <tr r="B425" s="1"/>
      </tp>
      <tp>
        <v>80.819999999999993</v>
        <stp/>
        <stp>Last</stp>
        <stp>STJ</stp>
        <tr r="B423" s="1"/>
      </tp>
      <tp>
        <v>57.77</v>
        <stp/>
        <stp>Last</stp>
        <stp>STI</stp>
        <tr r="B422" s="1"/>
      </tp>
      <tp>
        <v>57.77</v>
        <stp/>
        <stp>Mark</stp>
        <stp>STI</stp>
        <tr r="P422" s="1"/>
      </tp>
      <tp>
        <v>80.98</v>
        <stp/>
        <stp>Mark</stp>
        <stp>STJ</stp>
        <tr r="P423" s="1"/>
      </tp>
      <tp>
        <v>39.42</v>
        <stp/>
        <stp>Mark</stp>
        <stp>STX</stp>
        <tr r="P425" s="1"/>
      </tp>
      <tp>
        <v>216.29</v>
        <stp/>
        <stp>Mark</stp>
        <stp>STZ</stp>
        <tr r="P426" s="1"/>
      </tp>
      <tp>
        <v>92.31</v>
        <stp/>
        <stp>Mark</stp>
        <stp>STT</stp>
        <tr r="P424" s="1"/>
      </tp>
      <tp>
        <v>114.19</v>
        <stp/>
        <stp>Last</stp>
        <stp>SJM</stp>
        <tr r="B411" s="1"/>
      </tp>
      <tp>
        <v>114.19</v>
        <stp/>
        <stp>Mark</stp>
        <stp>SJM</stp>
        <tr r="P411" s="1"/>
      </tp>
      <tp>
        <v>17.55</v>
        <stp/>
        <stp>Last</stp>
        <stp>DISCA</stp>
        <tr r="B139" s="1"/>
      </tp>
      <tp>
        <v>386.98</v>
        <stp/>
        <stp>Last</stp>
        <stp>SHW</stp>
        <tr r="B409" s="1"/>
      </tp>
      <tp>
        <v>386.98</v>
        <stp/>
        <stp>Mark</stp>
        <stp>SHW</stp>
        <tr r="P409" s="1"/>
      </tp>
      <tp>
        <v>157.02000000000001</v>
        <stp/>
        <stp>Last</stp>
        <stp>SNA</stp>
        <tr r="B414" s="1"/>
      </tp>
      <tp>
        <v>80.62</v>
        <stp/>
        <stp>Last</stp>
        <stp>SNI</stp>
        <tr r="B416" s="1"/>
      </tp>
      <tp>
        <v>80.62</v>
        <stp/>
        <stp>Mark</stp>
        <stp>SNI</stp>
        <tr r="P416" s="1"/>
      </tp>
      <tp>
        <v>157.02000000000001</v>
        <stp/>
        <stp>Mark</stp>
        <stp>SNA</stp>
        <tr r="P414" s="1"/>
      </tp>
      <tp>
        <v>61.96</v>
        <stp/>
        <stp>Last</stp>
        <stp>SLB</stp>
        <tr r="B412" s="1"/>
      </tp>
      <tp>
        <v>10.33</v>
        <stp/>
        <stp>Last</stp>
        <stp>SLM</stp>
        <tr r="B413" s="1"/>
      </tp>
      <tp>
        <v>10.33</v>
        <stp/>
        <stp>Mark</stp>
        <stp>SLM</stp>
        <tr r="P413" s="1"/>
      </tp>
      <tp>
        <v>61.96</v>
        <stp/>
        <stp>Mark</stp>
        <stp>SLB</stp>
        <tr r="P412" s="1"/>
      </tp>
      <tp>
        <v>28.18</v>
        <stp/>
        <stp>OPEN</stp>
        <stp>FITB</stp>
        <tr r="K186" s="1"/>
      </tp>
      <tp>
        <v>43.45</v>
        <stp/>
        <stp>Mark</stp>
        <stp>SCG</stp>
        <tr r="P405" s="1"/>
      </tp>
      <tp>
        <v>43.45</v>
        <stp/>
        <stp>Last</stp>
        <stp>SCG</stp>
        <tr r="B405" s="1"/>
      </tp>
      <tp t="s">
        <v>N/A</v>
        <stp/>
        <stp>Mark</stp>
        <stp>SAI</stp>
        <tr r="P403" s="1"/>
      </tp>
      <tp t="s">
        <v>N/A</v>
        <stp/>
        <stp>Last</stp>
        <stp>SAI</stp>
        <tr r="B403" s="1"/>
      </tp>
      <tp>
        <v>45.72</v>
        <stp/>
        <stp>Mark</stp>
        <stp>SEE</stp>
        <tr r="P408" s="1"/>
      </tp>
      <tp>
        <v>129.44</v>
        <stp/>
        <stp>OPEN</stp>
        <stp>FISV</stp>
        <tr r="K185" s="1"/>
      </tp>
      <tp>
        <v>45.72</v>
        <stp/>
        <stp>Last</stp>
        <stp>SEE</stp>
        <tr r="B408" s="1"/>
      </tp>
      <tp>
        <v>75.14</v>
        <stp/>
        <stp>52HIGH</stp>
        <stp>XLNX</stp>
        <tr r="N495" s="1"/>
      </tp>
      <tp>
        <v>48.06</v>
        <stp/>
        <stp>52HIGH</stp>
        <stp>FLIR</stp>
        <tr r="N187" s="1"/>
      </tp>
      <tp>
        <v>110.005</v>
        <stp/>
        <stp>52HIGH</stp>
        <stp>KLAC</stp>
        <tr r="N261" s="1"/>
      </tp>
      <tp>
        <v>149.34</v>
        <stp/>
        <stp>52HIGH</stp>
        <stp>ALXN</stp>
        <tr r="N31" s="1"/>
      </tp>
      <tp t="s">
        <v>N/A</v>
        <stp/>
        <stp>52HIGH</stp>
        <stp>LLTC</stp>
        <tr r="N275" s="1"/>
      </tp>
      <tp>
        <v>23.998799999999999</v>
        <stp/>
        <stp>52HIGH</stp>
        <stp>ALTR</stp>
        <tr r="N30" s="1"/>
      </tp>
      <tp>
        <v>95.64</v>
        <stp/>
        <stp>52HIGH</stp>
        <stp>DLTR</stp>
        <tr r="N141" s="1"/>
      </tp>
      <tp>
        <v>104.09</v>
        <stp/>
        <stp>52HIGH</stp>
        <stp>DLPH</stp>
        <tr r="N140" s="1"/>
      </tp>
      <tp t="s">
        <v>instrument=DISCA</v>
        <stp/>
        <stp>QUOTE_TREND</stp>
        <stp>DISCA</stp>
        <tr r="D139" s="1"/>
      </tp>
      <tp>
        <v>112.28</v>
        <stp/>
        <stp>52LOW</stp>
        <stp>CLX</stp>
        <tr r="O100" s="1"/>
      </tp>
      <tp>
        <v>5.56</v>
        <stp/>
        <stp>52LOW</stp>
        <stp>CLF</stp>
        <tr r="O99" s="1"/>
      </tp>
      <tp>
        <v>39.42</v>
        <stp/>
        <stp>52LOW</stp>
        <stp>CMS</stp>
        <tr r="O106" s="1"/>
      </tp>
      <tp>
        <v>134.06</v>
        <stp/>
        <stp>52LOW</stp>
        <stp>CMI</stp>
        <tr r="O105" s="1"/>
      </tp>
      <tp>
        <v>58.78</v>
        <stp/>
        <stp>52LOW</stp>
        <stp>CMA</stp>
        <tr r="O101" s="1"/>
      </tp>
      <tp>
        <v>111.19</v>
        <stp/>
        <stp>52LOW</stp>
        <stp>CME</stp>
        <tr r="O103" s="1"/>
      </tp>
      <tp>
        <v>263</v>
        <stp/>
        <stp>52LOW</stp>
        <stp>CMG</stp>
        <tr r="O104" s="1"/>
      </tp>
      <tp>
        <v>13.55</v>
        <stp/>
        <stp>52LOW</stp>
        <stp>CNX</stp>
        <tr r="O108" s="1"/>
      </tp>
      <tp>
        <v>22.95</v>
        <stp/>
        <stp>52LOW</stp>
        <stp>CNP</stp>
        <tr r="O107" s="1"/>
      </tp>
      <tp>
        <v>152.22</v>
        <stp/>
        <stp>Last</stp>
        <stp>PXD</stp>
        <tr r="B385" s="1"/>
      </tp>
      <tp>
        <v>42.265000000000001</v>
        <stp/>
        <stp>52LOW</stp>
        <stp>COP</stp>
        <tr r="O113" s="1"/>
      </tp>
      <tp>
        <v>152.22</v>
        <stp/>
        <stp>Mark</stp>
        <stp>PXD</stp>
        <tr r="P385" s="1"/>
      </tp>
      <tp t="s">
        <v>N/A</v>
        <stp/>
        <stp>52LOW</stp>
        <stp>COV</stp>
        <tr r="O115" s="1"/>
      </tp>
      <tp>
        <v>34.159999999999997</v>
        <stp/>
        <stp>52LOW</stp>
        <stp>COH</stp>
        <tr r="O111" s="1"/>
      </tp>
      <tp>
        <v>87.17</v>
        <stp/>
        <stp>52LOW</stp>
        <stp>COL</stp>
        <tr r="O112" s="1"/>
      </tp>
      <tp>
        <v>20.55</v>
        <stp/>
        <stp>52LOW</stp>
        <stp>COG</stp>
        <tr r="O110" s="1"/>
      </tp>
      <tp>
        <v>76.05</v>
        <stp/>
        <stp>52LOW</stp>
        <stp>COF</stp>
        <tr r="O109" s="1"/>
      </tp>
      <tp>
        <v>3.41</v>
        <stp/>
        <stp>52LOW</stp>
        <stp>CHK</stp>
        <tr r="O94" s="1"/>
      </tp>
      <tp>
        <v>0</v>
        <stp/>
        <stp>HIGH</stp>
        <stp>YHOO</stp>
        <tr r="L500" s="1"/>
      </tp>
      <tp>
        <v>110.25</v>
        <stp/>
        <stp>Last</stp>
        <stp>PRU</stp>
        <tr r="B379" s="1"/>
      </tp>
      <tp>
        <v>211.85</v>
        <stp/>
        <stp>Mark</stp>
        <stp>PSA</stp>
        <tr r="P380" s="1"/>
      </tp>
      <tp>
        <v>92.65</v>
        <stp/>
        <stp>Mark</stp>
        <stp>PSX</stp>
        <tr r="P381" s="1"/>
      </tp>
      <tp>
        <v>92.65</v>
        <stp/>
        <stp>Last</stp>
        <stp>PSX</stp>
        <tr r="B381" s="1"/>
      </tp>
      <tp>
        <v>211.85</v>
        <stp/>
        <stp>Last</stp>
        <stp>PSA</stp>
        <tr r="B380" s="1"/>
      </tp>
      <tp>
        <v>110.25</v>
        <stp/>
        <stp>Mark</stp>
        <stp>PRU</stp>
        <tr r="P379" s="1"/>
      </tp>
      <tp>
        <v>113.83</v>
        <stp/>
        <stp>Last</stp>
        <stp>PPG</stp>
        <tr r="B376" s="1"/>
      </tp>
      <tp t="s">
        <v>N/A</v>
        <stp/>
        <stp>52LOW</stp>
        <stp>CFN</stp>
        <tr r="O93" s="1"/>
      </tp>
      <tp>
        <v>36.26</v>
        <stp/>
        <stp>Last</stp>
        <stp>PPL</stp>
        <tr r="B377" s="1"/>
      </tp>
      <tp>
        <v>36.229999999999997</v>
        <stp/>
        <stp>Mark</stp>
        <stp>PPL</stp>
        <tr r="P377" s="1"/>
      </tp>
      <tp>
        <v>113.83</v>
        <stp/>
        <stp>Mark</stp>
        <stp>PPG</stp>
        <tr r="P376" s="1"/>
      </tp>
      <tp>
        <v>36.01</v>
        <stp/>
        <stp>Mark</stp>
        <stp>PWR</stp>
        <tr r="P383" s="1"/>
      </tp>
      <tp>
        <v>133.12</v>
        <stp/>
        <stp>Last</stp>
        <stp>PVH</stp>
        <tr r="B382" s="1"/>
      </tp>
      <tp>
        <v>133.18</v>
        <stp/>
        <stp>Mark</stp>
        <stp>PVH</stp>
        <tr r="P382" s="1"/>
      </tp>
      <tp>
        <v>36.01</v>
        <stp/>
        <stp>Last</stp>
        <stp>PWR</stp>
        <tr r="B383" s="1"/>
      </tp>
      <tp>
        <v>90.34</v>
        <stp/>
        <stp>52LOW</stp>
        <stp>CAT</stp>
        <tr r="O83" s="1"/>
      </tp>
      <tp>
        <v>55.69</v>
        <stp/>
        <stp>52LOW</stp>
        <stp>CAH</stp>
        <tr r="O81" s="1"/>
      </tp>
      <tp>
        <v>40.5</v>
        <stp/>
        <stp>52LOW</stp>
        <stp>CAM</stp>
        <tr r="O82" s="1"/>
      </tp>
      <tp>
        <v>32.159999999999997</v>
        <stp/>
        <stp>52LOW</stp>
        <stp>CAG</stp>
        <tr r="O80" s="1"/>
      </tp>
      <tp>
        <v>52.75</v>
        <stp/>
        <stp>52LOW</stp>
        <stp>CBS</stp>
        <tr r="O86" s="1"/>
      </tp>
      <tp>
        <v>27.68</v>
        <stp/>
        <stp>52LOW</stp>
        <stp>CBG</stp>
        <tr r="O85" s="1"/>
      </tp>
      <tp>
        <v>80.819999999999993</v>
        <stp/>
        <stp>52LOW</stp>
        <stp>CCI</stp>
        <tr r="O88" s="1"/>
      </tp>
      <tp>
        <v>49.73</v>
        <stp/>
        <stp>52LOW</stp>
        <stp>CCL</stp>
        <tr r="O89" s="1"/>
      </tp>
      <tp>
        <v>30.55</v>
        <stp/>
        <stp>52LOW</stp>
        <stp>CCE</stp>
        <tr r="O87" s="1"/>
      </tp>
      <tp>
        <v>72.31</v>
        <stp/>
        <stp>Mark</stp>
        <stp>PKI</stp>
        <tr r="P368" s="1"/>
      </tp>
      <tp>
        <v>72.31</v>
        <stp/>
        <stp>Last</stp>
        <stp>PKI</stp>
        <tr r="B368" s="1"/>
      </tp>
      <tp>
        <v>32.25</v>
        <stp/>
        <stp>Last</stp>
        <stp>PHM</stp>
        <tr r="B367" s="1"/>
      </tp>
      <tp>
        <v>32.25</v>
        <stp/>
        <stp>Mark</stp>
        <stp>PHM</stp>
        <tr r="P367" s="1"/>
      </tp>
      <tp>
        <v>90.05</v>
        <stp/>
        <stp>Last</stp>
        <stp>PNW</stp>
        <tr r="B374" s="1"/>
      </tp>
      <tp>
        <v>68.44</v>
        <stp/>
        <stp>Last</stp>
        <stp>PNR</stp>
        <tr r="B373" s="1"/>
      </tp>
      <tp>
        <v>27.24</v>
        <stp/>
        <stp>Mark</stp>
        <stp>POM</stp>
        <tr r="P375" s="1"/>
      </tp>
      <tp>
        <v>132.85</v>
        <stp/>
        <stp>Last</stp>
        <stp>PNC</stp>
        <tr r="B372" s="1"/>
      </tp>
      <tp>
        <v>132.85</v>
        <stp/>
        <stp>Mark</stp>
        <stp>PNC</stp>
        <tr r="P372" s="1"/>
      </tp>
      <tp>
        <v>0</v>
        <stp/>
        <stp>Last</stp>
        <stp>POM</stp>
        <tr r="B375" s="1"/>
      </tp>
      <tp>
        <v>68.44</v>
        <stp/>
        <stp>Mark</stp>
        <stp>PNR</stp>
        <tr r="P373" s="1"/>
      </tp>
      <tp>
        <v>90.05</v>
        <stp/>
        <stp>Mark</stp>
        <stp>PNW</stp>
        <tr r="P374" s="1"/>
      </tp>
      <tp>
        <v>66.3</v>
        <stp/>
        <stp>Last</stp>
        <stp>PLD</stp>
        <tr r="B369" s="1"/>
      </tp>
      <tp>
        <v>0</v>
        <stp/>
        <stp>Last</stp>
        <stp>PLL</stp>
        <tr r="B370" s="1"/>
      </tp>
      <tp>
        <v>0</v>
        <stp/>
        <stp>Mark</stp>
        <stp>PLL</stp>
        <tr r="P370" s="1"/>
      </tp>
      <tp>
        <v>66.3</v>
        <stp/>
        <stp>Mark</stp>
        <stp>PLD</stp>
        <tr r="P369" s="1"/>
      </tp>
      <tp>
        <v>79.309899999999999</v>
        <stp/>
        <stp>HIGH</stp>
        <stp>CHRW</stp>
        <tr r="L95" s="1"/>
      </tp>
      <tp>
        <v>35.1</v>
        <stp/>
        <stp>Mark</stp>
        <stp>PCL</stp>
        <tr r="P355" s="1"/>
      </tp>
      <tp>
        <v>54.01</v>
        <stp/>
        <stp>Mark</stp>
        <stp>PCG</stp>
        <tr r="P354" s="1"/>
      </tp>
      <tp>
        <v>14.06</v>
        <stp/>
        <stp>52LOW</stp>
        <stp>CTL</stp>
        <tr r="O122" s="1"/>
      </tp>
      <tp>
        <v>234.97</v>
        <stp/>
        <stp>Mark</stp>
        <stp>PCP</stp>
        <tr r="P357" s="1"/>
      </tp>
      <tp>
        <v>9.93</v>
        <stp/>
        <stp>Last</stp>
        <stp>PBI</stp>
        <tr r="B352" s="1"/>
      </tp>
      <tp>
        <v>9.93</v>
        <stp/>
        <stp>Mark</stp>
        <stp>PBI</stp>
        <tr r="P352" s="1"/>
      </tp>
      <tp>
        <v>0</v>
        <stp/>
        <stp>Last</stp>
        <stp>PCP</stp>
        <tr r="B357" s="1"/>
      </tp>
      <tp>
        <v>54</v>
        <stp/>
        <stp>Last</stp>
        <stp>PCG</stp>
        <tr r="B354" s="1"/>
      </tp>
      <tp>
        <v>0</v>
        <stp/>
        <stp>Last</stp>
        <stp>PCL</stp>
        <tr r="B355" s="1"/>
      </tp>
      <tp>
        <v>102.55</v>
        <stp/>
        <stp>52LOW</stp>
        <stp>CVX</stp>
        <tr r="O127" s="1"/>
      </tp>
      <tp>
        <v>66.45</v>
        <stp/>
        <stp>52LOW</stp>
        <stp>CVS</stp>
        <tr r="O126" s="1"/>
      </tp>
      <tp>
        <v>0</v>
        <stp/>
        <stp>52LOW</stp>
        <stp>CVC</stp>
        <tr r="O125" s="1"/>
      </tp>
      <tp>
        <v>68.64</v>
        <stp/>
        <stp>Last</stp>
        <stp>PFG</stp>
        <tr r="B363" s="1"/>
      </tp>
      <tp>
        <v>35.369999999999997</v>
        <stp/>
        <stp>Last</stp>
        <stp>PFE</stp>
        <tr r="B362" s="1"/>
      </tp>
      <tp>
        <v>44.994999999999997</v>
        <stp/>
        <stp>52LOW</stp>
        <stp>CPB</stp>
        <tr r="O116" s="1"/>
      </tp>
      <tp>
        <v>51.55</v>
        <stp/>
        <stp>Mark</stp>
        <stp>PGR</stp>
        <tr r="P365" s="1"/>
      </tp>
      <tp>
        <v>51.55</v>
        <stp/>
        <stp>Last</stp>
        <stp>PGR</stp>
        <tr r="B365" s="1"/>
      </tp>
      <tp>
        <v>35.369999999999997</v>
        <stp/>
        <stp>Mark</stp>
        <stp>PFE</stp>
        <tr r="P362" s="1"/>
      </tp>
      <tp>
        <v>68.64</v>
        <stp/>
        <stp>Mark</stp>
        <stp>PFG</stp>
        <tr r="P363" s="1"/>
      </tp>
      <tp>
        <v>51.5</v>
        <stp/>
        <stp>Mark</stp>
        <stp>PEG</stp>
        <tr r="P359" s="1"/>
      </tp>
      <tp>
        <v>66.430000000000007</v>
        <stp/>
        <stp>52LOW</stp>
        <stp>CRM</stp>
        <tr r="O117" s="1"/>
      </tp>
      <tp>
        <v>114.68</v>
        <stp/>
        <stp>Mark</stp>
        <stp>PEP</stp>
        <tr r="P360" s="1"/>
      </tp>
      <tp>
        <v>33.79</v>
        <stp/>
        <stp>52LOW</stp>
        <stp>CSX</stp>
        <tr r="O120" s="1"/>
      </tp>
      <tp>
        <v>114.68</v>
        <stp/>
        <stp>Last</stp>
        <stp>PEP</stp>
        <tr r="B360" s="1"/>
      </tp>
      <tp>
        <v>51.5</v>
        <stp/>
        <stp>Last</stp>
        <stp>PEG</stp>
        <tr r="B359" s="1"/>
      </tp>
      <tp>
        <v>32.51</v>
        <stp/>
        <stp>52LOW</stp>
        <stp>CSC</stp>
        <tr r="O118" s="1"/>
      </tp>
      <tp t="s">
        <v>N/A</v>
        <stp/>
        <stp>52HIGH</stp>
        <stp>MOLX</stp>
        <tr r="N308" s="1"/>
      </tp>
      <tp>
        <v>1048.3900000000001</v>
        <stp/>
        <stp>52HIGH</stp>
        <stp>GOOG</stp>
        <tr r="N205" s="1"/>
      </tp>
      <tp t="s">
        <v>N/A</v>
        <stp/>
        <stp>BID</stp>
        <stp>BRK-B</stp>
        <tr r="F73" s="1"/>
      </tp>
      <tp>
        <v>36.865000000000002</v>
        <stp/>
        <stp>52HIGH</stp>
        <stp>FOSL</stp>
        <tr r="N191" s="1"/>
      </tp>
      <tp>
        <v>183.18</v>
        <stp/>
        <stp>52HIGH</stp>
        <stp>COST</stp>
        <tr r="N114" s="1"/>
      </tp>
      <tp>
        <v>69.81</v>
        <stp/>
        <stp>52HIGH</stp>
        <stp>ROST</stp>
        <tr r="N398" s="1"/>
      </tp>
      <tp t="s">
        <v>N/A</v>
        <stp/>
        <stp>52HIGH</stp>
        <stp>BRK-B</stp>
        <tr r="N73" s="1"/>
      </tp>
      <tp>
        <v>365.83229999999998</v>
        <stp/>
        <stp>52LOW</stp>
        <stp>BLK</stp>
        <tr r="O67" s="1"/>
      </tp>
      <tp>
        <v>35.645000000000003</v>
        <stp/>
        <stp>52LOW</stp>
        <stp>BLL</stp>
        <tr r="O68" s="1"/>
      </tp>
      <tp>
        <v>46.01</v>
        <stp/>
        <stp>52LOW</stp>
        <stp>BMY</stp>
        <tr r="O71" s="1"/>
      </tp>
      <tp>
        <v>40.6</v>
        <stp/>
        <stp>52LOW</stp>
        <stp>BMS</stp>
        <tr r="O70" s="1"/>
      </tp>
      <tp t="s">
        <v>N/A</v>
        <stp/>
        <stp>52LOW</stp>
        <stp>BMC</stp>
        <tr r="O69" s="1"/>
      </tp>
      <tp>
        <v>316</v>
        <stp/>
        <stp>HIGH</stp>
        <stp>BIIB</stp>
        <tr r="L65" s="1"/>
      </tp>
      <tp>
        <v>73.92</v>
        <stp/>
        <stp>HIGH</stp>
        <stp>CINF</stp>
        <tr r="L97" s="1"/>
      </tp>
      <tp>
        <v>43.09</v>
        <stp/>
        <stp>52LOW</stp>
        <stp>BHI</stp>
        <tr r="O64" s="1"/>
      </tp>
      <tp>
        <v>46.46</v>
        <stp/>
        <stp>HIGH</stp>
        <stp>ZION</stp>
        <tr r="L502" s="1"/>
      </tp>
      <tp>
        <v>72.62</v>
        <stp/>
        <stp>HIGH</stp>
        <stp>GILD</stp>
        <tr r="L200" s="1"/>
      </tp>
      <tp>
        <v>161.29</v>
        <stp/>
        <stp>52LOW</stp>
        <stp>BDX</stp>
        <tr r="O60" s="1"/>
      </tp>
      <tp>
        <v>38.17</v>
        <stp/>
        <stp>52LOW</stp>
        <stp>BEN</stp>
        <tr r="O62" s="1"/>
      </tp>
      <tp>
        <v>26.35</v>
        <stp/>
        <stp>HIGH</stp>
        <stp>VIAB</stp>
        <tr r="L467" s="1"/>
      </tp>
      <tp>
        <v>0</v>
        <stp/>
        <stp>HIGH</stp>
        <stp>SIAL</stp>
        <tr r="L410" s="1"/>
      </tp>
      <tp>
        <v>3.9</v>
        <stp/>
        <stp>HIGH</stp>
        <stp>LIFE</stp>
        <tr r="L273" s="1"/>
      </tp>
      <tp>
        <v>55.37</v>
        <stp/>
        <stp>OPEN</stp>
        <stp>AKAM</stp>
        <tr r="K28" s="1"/>
      </tp>
      <tp>
        <v>43.13</v>
        <stp/>
        <stp>52LOW</stp>
        <stp>BAX</stp>
        <tr r="O55" s="1"/>
      </tp>
      <tp>
        <v>19.68</v>
        <stp/>
        <stp>52LOW</stp>
        <stp>BAC</stp>
        <tr r="O54" s="1"/>
      </tp>
      <tp>
        <v>39.430100000000003</v>
        <stp/>
        <stp>52LOW</stp>
        <stp>BBY</stp>
        <tr r="O58" s="1"/>
      </tp>
      <tp>
        <v>41.17</v>
        <stp/>
        <stp>52LOW</stp>
        <stp>BBT</stp>
        <tr r="O57" s="1"/>
      </tp>
      <tp>
        <v>206.25700000000001</v>
        <stp/>
        <stp>52LOW</stp>
        <stp>BCR</stp>
        <tr r="O59" s="1"/>
      </tp>
      <tp>
        <v>116.77</v>
        <stp/>
        <stp>52LOW</stp>
        <stp>BXP</stp>
        <tr r="O77" s="1"/>
      </tp>
      <tp>
        <v>22.58</v>
        <stp/>
        <stp>52LOW</stp>
        <stp>BTU</stp>
        <tr r="O75" s="1"/>
      </tp>
      <tp>
        <v>129.47999999999999</v>
        <stp/>
        <stp>HIGH</stp>
        <stp>FISV</stp>
        <tr r="L185" s="1"/>
      </tp>
      <tp>
        <v>34.11</v>
        <stp/>
        <stp>52LOW</stp>
        <stp>BWA</stp>
        <tr r="O76" s="1"/>
      </tp>
      <tp>
        <v>28.54</v>
        <stp/>
        <stp>HIGH</stp>
        <stp>FITB</stp>
        <tr r="L186" s="1"/>
      </tp>
      <tp>
        <v>8.8000000000000007</v>
        <stp/>
        <stp>Mark</stp>
        <stp>QEP</stp>
        <tr r="P387" s="1"/>
      </tp>
      <tp>
        <v>19.670000000000002</v>
        <stp/>
        <stp>52LOW</stp>
        <stp>BSX</stp>
        <tr r="O74" s="1"/>
      </tp>
      <tp>
        <v>8.8000000000000007</v>
        <stp/>
        <stp>Last</stp>
        <stp>QEP</stp>
        <tr r="B387" s="1"/>
      </tp>
      <tp>
        <v>75.295000000000002</v>
        <stp/>
        <stp>52LOW</stp>
        <stp>EL</stp>
        <tr r="O160" s="1"/>
      </tp>
      <tp>
        <v>68.849999999999994</v>
        <stp/>
        <stp>52LOW</stp>
        <stp>ED</stp>
        <tr r="O157" s="1"/>
      </tp>
      <tp>
        <v>73.739999999999995</v>
        <stp/>
        <stp>52LOW</stp>
        <stp>EA</stp>
        <tr r="O154" s="1"/>
      </tp>
      <tp>
        <v>81.12</v>
        <stp/>
        <stp>52LOW</stp>
        <stp>EW</stp>
        <tr r="O172" s="1"/>
      </tp>
      <tp>
        <v>10.055</v>
        <stp/>
        <stp>52LOW</stp>
        <stp>DO</stp>
        <tr r="O144" s="1"/>
      </tp>
      <tp>
        <v>66.02</v>
        <stp/>
        <stp>52LOW</stp>
        <stp>DD</stp>
        <tr r="O129" s="1"/>
      </tp>
      <tp>
        <v>90.75</v>
        <stp/>
        <stp>52LOW</stp>
        <stp>DE</stp>
        <tr r="O130" s="1"/>
      </tp>
      <tp>
        <v>9.01</v>
        <stp/>
        <stp>52LOW</stp>
        <stp>DF</stp>
        <tr r="O132" s="1"/>
      </tp>
      <tp>
        <v>65.97</v>
        <stp/>
        <stp>52LOW</stp>
        <stp>DG</stp>
        <tr r="O134" s="1"/>
      </tp>
      <tp>
        <v>164.97</v>
        <stp/>
        <stp>52LOW</stp>
        <stp>GD</stp>
        <tr r="O198" s="1"/>
      </tp>
      <tp>
        <v>17.46</v>
        <stp/>
        <stp>52LOW</stp>
        <stp>GE</stp>
        <tr r="O199" s="1"/>
      </tp>
      <tp>
        <v>28.81</v>
        <stp/>
        <stp>52LOW</stp>
        <stp>GT</stp>
        <tr r="O210" s="1"/>
      </tp>
      <tp>
        <v>204.83</v>
        <stp/>
        <stp>52LOW</stp>
        <stp>GS</stp>
        <tr r="O209" s="1"/>
      </tp>
      <tp>
        <v>27.93</v>
        <stp/>
        <stp>52LOW</stp>
        <stp>FE</stp>
        <tr r="O181" s="1"/>
      </tp>
      <tp>
        <v>38.200000000000003</v>
        <stp/>
        <stp>52LOW</stp>
        <stp>AN</stp>
        <tr r="O38" s="1"/>
      </tp>
      <tp>
        <v>28.01</v>
        <stp/>
        <stp>52LOW</stp>
        <stp>AA</stp>
        <tr r="O5" s="1"/>
      </tp>
      <tp>
        <v>63.43</v>
        <stp/>
        <stp>52LOW</stp>
        <stp>CL</stp>
        <tr r="O98" s="1"/>
      </tp>
      <tp>
        <v>131.03</v>
        <stp/>
        <stp>52LOW</stp>
        <stp>CI</stp>
        <tr r="O96" s="1"/>
      </tp>
      <tp>
        <v>25.04</v>
        <stp/>
        <stp>52LOW</stp>
        <stp>CF</stp>
        <tr r="O92" s="1"/>
      </tp>
      <tp>
        <v>30.01</v>
        <stp/>
        <stp>52LOW</stp>
        <stp>CA</stp>
        <tr r="O79" s="1"/>
      </tp>
      <tp>
        <v>124.1</v>
        <stp/>
        <stp>52LOW</stp>
        <stp>CB</stp>
        <tr r="O84" s="1"/>
      </tp>
      <tp>
        <v>43.85</v>
        <stp/>
        <stp>52LOW</stp>
        <stp>BK</stp>
        <tr r="O66" s="1"/>
      </tp>
      <tp>
        <v>144.46</v>
        <stp/>
        <stp>52LOW</stp>
        <stp>BA</stp>
        <tr r="O53" s="1"/>
      </tp>
      <tp>
        <v>60.01</v>
        <stp/>
        <stp>52LOW</stp>
        <stp>MO</stp>
        <tr r="O307" s="1"/>
      </tp>
      <tp>
        <v>99.51</v>
        <stp/>
        <stp>52LOW</stp>
        <stp>MA</stp>
        <tr r="O289" s="1"/>
      </tp>
      <tp>
        <v>17.93</v>
        <stp/>
        <stp>52LOW</stp>
        <stp>MU</stp>
        <tr r="O318" s="1"/>
      </tp>
      <tp>
        <v>38.72</v>
        <stp/>
        <stp>52LOW</stp>
        <stp>MS</stp>
        <tr r="O314" s="1"/>
      </tp>
      <tp>
        <v>29.71</v>
        <stp/>
        <stp>52LOW</stp>
        <stp>LM</stp>
        <tr r="O277" s="1"/>
      </tp>
      <tp>
        <v>0</v>
        <stp/>
        <stp>52LOW</stp>
        <stp>LO</stp>
        <tr r="O280" s="1"/>
      </tp>
      <tp>
        <v>123.36</v>
        <stp/>
        <stp>52LOW</stp>
        <stp>LH</stp>
        <tr r="O272" s="1"/>
      </tp>
      <tp t="s">
        <v>N/A</v>
        <stp/>
        <stp>52HIGH</stp>
        <stp>SNDK</stp>
        <tr r="N415" s="1"/>
      </tp>
      <tp>
        <v>17.309999999999999</v>
        <stp/>
        <stp>52LOW</stp>
        <stp>OI</stp>
        <tr r="O344" s="1"/>
      </tp>
      <tp>
        <v>21.31</v>
        <stp/>
        <stp>52LOW</stp>
        <stp>NI</stp>
        <tr r="O330" s="1"/>
      </tp>
      <tp>
        <v>3.14</v>
        <stp/>
        <stp>52LOW</stp>
        <stp>NE</stp>
        <tr r="O325" s="1"/>
      </tp>
      <tp>
        <v>100.03</v>
        <stp/>
        <stp>52LOW</stp>
        <stp>NU</stp>
        <tr r="O338" s="1"/>
      </tp>
      <tp>
        <v>47.72</v>
        <stp/>
        <stp>52LOW</stp>
        <stp>IP</stp>
        <tr r="O241" s="1"/>
      </tp>
      <tp>
        <v>74.02</v>
        <stp/>
        <stp>52LOW</stp>
        <stp>IR</stp>
        <tr r="O243" s="1"/>
      </tp>
      <tp>
        <v>123.28</v>
        <stp/>
        <stp>52LOW</stp>
        <stp>HD</stp>
        <tr r="O219" s="1"/>
      </tp>
      <tp>
        <v>42.16</v>
        <stp/>
        <stp>52LOW</stp>
        <stp>HP</stp>
        <tr r="O226" s="1"/>
      </tp>
      <tp>
        <v>39.880000000000003</v>
        <stp/>
        <stp>52LOW</stp>
        <stp>KO</stp>
        <tr r="O265" s="1"/>
      </tp>
      <tp>
        <v>19.690000000000001</v>
        <stp/>
        <stp>52LOW</stp>
        <stp>KR</stp>
        <tr r="O266" s="1"/>
      </tp>
      <tp>
        <v>0</v>
        <stp/>
        <stp>52LOW</stp>
        <stp>TE</stp>
        <tr r="O436" s="1"/>
      </tp>
      <tp>
        <v>68.3</v>
        <stp/>
        <stp>52LOW</stp>
        <stp>WM</stp>
        <tr r="O483" s="1"/>
      </tp>
      <tp>
        <v>29.81</v>
        <stp/>
        <stp>52LOW</stp>
        <stp>WY</stp>
        <tr r="O489" s="1"/>
      </tp>
      <tp>
        <v>18.39</v>
        <stp/>
        <stp>52LOW</stp>
        <stp>WU</stp>
        <tr r="O488" s="1"/>
      </tp>
      <tp>
        <v>42.8</v>
        <stp/>
        <stp>52LOW</stp>
        <stp>VZ</stp>
        <tr r="O473" s="1"/>
      </tp>
      <tp>
        <v>86.78</v>
        <stp/>
        <stp>52LOW</stp>
        <stp>PM</stp>
        <tr r="O371" s="1"/>
      </tp>
      <tp>
        <v>134.03</v>
        <stp/>
        <stp>52LOW</stp>
        <stp>PH</stp>
        <tr r="O366" s="1"/>
      </tp>
      <tp>
        <v>81.180000000000007</v>
        <stp/>
        <stp>52LOW</stp>
        <stp>PG</stp>
        <tr r="O364" s="1"/>
      </tp>
      <tp>
        <v>115</v>
        <stp/>
        <stp>52LOW</stp>
        <stp>PX</stp>
        <tr r="O384" s="1"/>
      </tp>
      <tp>
        <v>46.2</v>
        <stp/>
        <stp>52LOW</stp>
        <stp>SO</stp>
        <tr r="O417" s="1"/>
      </tp>
      <tp>
        <v>13.62</v>
        <stp/>
        <stp>52LOW</stp>
        <stp>SE</stp>
        <tr r="O407" s="1"/>
      </tp>
      <tp>
        <v>66.06</v>
        <stp/>
        <stp>52LOW</stp>
        <stp>RL</stp>
        <tr r="O395" s="1"/>
      </tp>
      <tp>
        <v>12.8001</v>
        <stp/>
        <stp>52LOW</stp>
        <stp>RF</stp>
        <tr r="O392" s="1"/>
      </tp>
      <tp>
        <v>47.3</v>
        <stp/>
        <stp>52HIGH</stp>
        <stp>INTC</stp>
        <tr r="N239" s="1"/>
      </tp>
      <tp>
        <v>156.46</v>
        <stp/>
        <stp>52HIGH</stp>
        <stp>INTU</stp>
        <tr r="N240" s="1"/>
      </tp>
      <tp>
        <v>35.700000000000003</v>
        <stp/>
        <stp>52LOW</stp>
        <stp>XL</stp>
        <tr r="O494" s="1"/>
      </tp>
      <tp>
        <v>30.96</v>
        <stp/>
        <stp>52HIGH</stp>
        <stp>JNPR</stp>
        <tr r="N254" s="1"/>
      </tp>
      <tp>
        <v>62.8</v>
        <stp/>
        <stp>52HIGH</stp>
        <stp>MNST</stp>
        <tr r="N306" s="1"/>
      </tp>
      <tp>
        <v>42.25</v>
        <stp/>
        <stp>OPEN</stp>
        <stp>MDLZ</stp>
        <tr r="K298" s="1"/>
      </tp>
      <tp>
        <v>170.72</v>
        <stp/>
        <stp>52LOW</stp>
        <stp>MMM</stp>
        <tr r="O305" s="1"/>
      </tp>
      <tp>
        <v>66.75</v>
        <stp/>
        <stp>52LOW</stp>
        <stp>MMC</stp>
        <tr r="O304" s="1"/>
      </tp>
      <tp>
        <v>123.74</v>
        <stp/>
        <stp>HIGH</stp>
        <stp>FFIV</stp>
        <tr r="L182" s="1"/>
      </tp>
      <tp>
        <v>19.23</v>
        <stp/>
        <stp>52LOW</stp>
        <stp>MOS</stp>
        <tr r="O310" s="1"/>
      </tp>
      <tp>
        <v>99.38</v>
        <stp/>
        <stp>52LOW</stp>
        <stp>MON</stp>
        <tr r="O309" s="1"/>
      </tp>
      <tp t="s">
        <v>N/A</v>
        <stp/>
        <stp>52LOW</stp>
        <stp>MHP</stp>
        <tr r="O301" s="1"/>
      </tp>
      <tp>
        <v>195.95</v>
        <stp/>
        <stp>HIGH</stp>
        <stp>NFLX</stp>
        <tr r="L328" s="1"/>
      </tp>
      <tp>
        <v>0</v>
        <stp/>
        <stp>52LOW</stp>
        <stp>MJN</stp>
        <tr r="O302" s="1"/>
      </tp>
      <tp>
        <v>88.64</v>
        <stp/>
        <stp>52LOW</stp>
        <stp>MKC</stp>
        <tr r="O303" s="1"/>
      </tp>
      <tp>
        <v>69.349999999999994</v>
        <stp/>
        <stp>52LOW</stp>
        <stp>MDT</stp>
        <tr r="O299" s="1"/>
      </tp>
      <tp>
        <v>44.174469999999999</v>
        <stp/>
        <stp>52LOW</stp>
        <stp>MET</stp>
        <tr r="O300" s="1"/>
      </tp>
      <tp>
        <v>76</v>
        <stp/>
        <stp>OPEN</stp>
        <stp>NDAQ</stp>
        <tr r="K324" s="1"/>
      </tp>
      <tp>
        <v>30.08</v>
        <stp/>
        <stp>52LOW</stp>
        <stp>MAS</stp>
        <tr r="O292" s="1"/>
      </tp>
      <tp>
        <v>76.88</v>
        <stp/>
        <stp>52LOW</stp>
        <stp>MAR</stp>
        <tr r="O291" s="1"/>
      </tp>
      <tp>
        <v>12.71</v>
        <stp/>
        <stp>52LOW</stp>
        <stp>MAT</stp>
        <tr r="O293" s="1"/>
      </tp>
      <tp>
        <v>52.12</v>
        <stp/>
        <stp>52LOW</stp>
        <stp>MAC</stp>
        <tr r="O290" s="1"/>
      </tp>
      <tp>
        <v>182.08</v>
        <stp/>
        <stp>OPEN</stp>
        <stp>ADBE</stp>
        <tr r="K13" s="1"/>
      </tp>
      <tp>
        <v>35.86</v>
        <stp/>
        <stp>OPEN</stp>
        <stp>PDCO</stp>
        <tr r="K358" s="1"/>
      </tp>
      <tp>
        <v>133.82</v>
        <stp/>
        <stp>52LOW</stp>
        <stp>MCK</stp>
        <tr r="O296" s="1"/>
      </tp>
      <tp>
        <v>93.51</v>
        <stp/>
        <stp>52LOW</stp>
        <stp>MCO</stp>
        <tr r="O297" s="1"/>
      </tp>
      <tp>
        <v>117.71</v>
        <stp/>
        <stp>52LOW</stp>
        <stp>MCD</stp>
        <tr r="O294" s="1"/>
      </tp>
      <tp>
        <v>29.39</v>
        <stp/>
        <stp>52LOW</stp>
        <stp>MYL</stp>
        <tr r="O321" s="1"/>
      </tp>
      <tp>
        <v>136.11000000000001</v>
        <stp/>
        <stp>52LOW</stp>
        <stp>MTB</stp>
        <tr r="O317" s="1"/>
      </tp>
      <tp>
        <v>22.21</v>
        <stp/>
        <stp>52LOW</stp>
        <stp>MUR</stp>
        <tr r="O319" s="1"/>
      </tp>
      <tp>
        <v>0</v>
        <stp/>
        <stp>52LOW</stp>
        <stp>MWV</stp>
        <tr r="O320" s="1"/>
      </tp>
      <tp>
        <v>42.57</v>
        <stp/>
        <stp>52LOW</stp>
        <stp>MPC</stp>
        <tr r="O311" s="1"/>
      </tp>
      <tp>
        <v>54.4</v>
        <stp/>
        <stp>52LOW</stp>
        <stp>MRK</stp>
        <tr r="O312" s="1"/>
      </tp>
      <tp>
        <v>10.55</v>
        <stp/>
        <stp>52LOW</stp>
        <stp>MRO</stp>
        <tr r="O313" s="1"/>
      </tp>
      <tp>
        <v>0</v>
        <stp/>
        <stp>OPEN</stp>
        <stp>JDSU</stp>
        <tr r="K251" s="1"/>
      </tp>
      <tp>
        <v>127.49</v>
        <stp/>
        <stp>OPEN</stp>
        <stp>ADSK</stp>
        <tr r="K17" s="1"/>
      </tp>
      <tp>
        <v>76.92</v>
        <stp/>
        <stp>52LOW</stp>
        <stp>MSI</stp>
        <tr r="O316" s="1"/>
      </tp>
      <tp>
        <v>66.31</v>
        <stp/>
        <stp>52HIGH</stp>
        <stp>PAYX</stp>
        <tr r="N350" s="1"/>
      </tp>
      <tp>
        <v>176.24</v>
        <stp/>
        <stp>52HIGH</stp>
        <stp>AAPL</stp>
        <tr r="N6" s="1"/>
      </tp>
      <tp>
        <v>52.74</v>
        <stp/>
        <stp>52HIGH</stp>
        <stp>FAST</stp>
        <tr r="N177" s="1"/>
      </tp>
      <tp t="s">
        <v>N/A</v>
        <stp/>
        <stp>HIGH</stp>
        <stp>BF-B</stp>
        <tr r="L63" s="1"/>
      </tp>
      <tp>
        <v>103.49</v>
        <stp/>
        <stp>OPEN</stp>
        <stp>CELG</stp>
        <tr r="K90" s="1"/>
      </tp>
      <tp t="s">
        <v>N/A</v>
        <stp/>
        <stp>OPEN</stp>
        <stp>DELL</stp>
        <tr r="K131" s="1"/>
      </tp>
      <tp>
        <v>64.180000000000007</v>
        <stp/>
        <stp>52LOW</stp>
        <stp>LLY</stp>
        <tr r="O276" s="1"/>
      </tp>
      <tp>
        <v>143.54</v>
        <stp/>
        <stp>52LOW</stp>
        <stp>LLL</stp>
        <tr r="O274" s="1"/>
      </tp>
      <tp>
        <v>245.5</v>
        <stp/>
        <stp>52LOW</stp>
        <stp>LMT</stp>
        <tr r="O278" s="1"/>
      </tp>
      <tp>
        <v>60.79</v>
        <stp/>
        <stp>52LOW</stp>
        <stp>LNC</stp>
        <tr r="O279" s="1"/>
      </tp>
      <tp>
        <v>65.12</v>
        <stp/>
        <stp>52LOW</stp>
        <stp>LOW</stp>
        <tr r="O281" s="1"/>
      </tp>
      <tp>
        <v>40.823529000000001</v>
        <stp/>
        <stp>52LOW</stp>
        <stp>LEN</stp>
        <tr r="O271" s="1"/>
      </tp>
      <tp>
        <v>43.164999999999999</v>
        <stp/>
        <stp>52LOW</stp>
        <stp>LEG</stp>
        <tr r="O270" s="1"/>
      </tp>
      <tp>
        <v>393.08</v>
        <stp/>
        <stp>OPEN</stp>
        <stp>REGN</stp>
        <tr r="K391" s="1"/>
      </tp>
      <tp t="s">
        <v>N/A</v>
        <stp/>
        <stp>OPEN</stp>
        <stp>BEAM</stp>
        <tr r="K61" s="1"/>
      </tp>
      <tp>
        <v>78.010000000000005</v>
        <stp/>
        <stp>52LOW</stp>
        <stp>LYB</stp>
        <tr r="O287" s="1"/>
      </tp>
      <tp t="s">
        <v>N/A</v>
        <stp/>
        <stp>OPEN</stp>
        <stp>PETM</stp>
        <tr r="K361" s="1"/>
      </tp>
      <tp t="s">
        <v>N/A</v>
        <stp/>
        <stp>52LOW</stp>
        <stp>LTD</stp>
        <tr r="O284" s="1"/>
      </tp>
      <tp>
        <v>44.7</v>
        <stp/>
        <stp>52LOW</stp>
        <stp>LUV</stp>
        <tr r="O286" s="1"/>
      </tp>
      <tp>
        <v>20.613</v>
        <stp/>
        <stp>52LOW</stp>
        <stp>LUK</stp>
        <tr r="O285" s="1"/>
      </tp>
      <tp>
        <v>65.53</v>
        <stp/>
        <stp>OPEN</stp>
        <stp>CERN</stp>
        <tr r="K91" s="1"/>
      </tp>
      <tp>
        <v>69</v>
        <stp/>
        <stp>52LOW</stp>
        <stp>LSI</stp>
        <tr r="O283" s="1"/>
      </tp>
      <tp t="s">
        <v>N/A</v>
        <stp/>
        <stp>ASK</stp>
        <stp>BRK-B</stp>
        <tr r="G73" s="1"/>
      </tp>
      <tp>
        <v>195.74</v>
        <stp/>
        <stp>OPEN</stp>
        <stp>NFLX</stp>
        <tr r="K328" s="1"/>
      </tp>
      <tp>
        <v>36.159999999999997</v>
        <stp/>
        <stp>Mark</stp>
        <stp>CMCSA</stp>
        <tr r="P102" s="1"/>
      </tp>
      <tp>
        <v>65.319999999999993</v>
        <stp/>
        <stp>52LOW</stp>
        <stp>OMC</stp>
        <tr r="O346" s="1"/>
      </tp>
      <tp>
        <v>121.81</v>
        <stp/>
        <stp>OPEN</stp>
        <stp>FFIV</stp>
        <tr r="K182" s="1"/>
      </tp>
      <tp>
        <v>42.765000000000001</v>
        <stp/>
        <stp>HIGH</stp>
        <stp>MDLZ</stp>
        <tr r="L298" s="1"/>
      </tp>
      <tp>
        <v>47.14</v>
        <stp/>
        <stp>52LOW</stp>
        <stp>OKE</stp>
        <tr r="O345" s="1"/>
      </tp>
      <tp>
        <v>182.91050000000001</v>
        <stp/>
        <stp>HIGH</stp>
        <stp>ADBE</stp>
        <tr r="L13" s="1"/>
      </tp>
      <tp>
        <v>36.32</v>
        <stp/>
        <stp>HIGH</stp>
        <stp>PDCO</stp>
        <tr r="L358" s="1"/>
      </tp>
      <tp>
        <v>76.180000000000007</v>
        <stp/>
        <stp>HIGH</stp>
        <stp>NDAQ</stp>
        <tr r="L324" s="1"/>
      </tp>
      <tp>
        <v>57.2</v>
        <stp/>
        <stp>52LOW</stp>
        <stp>OXY</stp>
        <tr r="O349" s="1"/>
      </tp>
      <tp>
        <v>0</v>
        <stp/>
        <stp>HIGH</stp>
        <stp>JDSU</stp>
        <tr r="L251" s="1"/>
      </tp>
      <tp>
        <v>127.92</v>
        <stp/>
        <stp>HIGH</stp>
        <stp>ADSK</stp>
        <tr r="L17" s="1"/>
      </tp>
      <tp>
        <v>2067.9899999999998</v>
        <stp/>
        <stp>52HIGH</stp>
        <stp>PCLN</stp>
        <tr r="N356" s="1"/>
      </tp>
      <tp>
        <v>70.239999999999995</v>
        <stp/>
        <stp>52HIGH</stp>
        <stp>QCOM</stp>
        <tr r="N386" s="1"/>
      </tp>
      <tp>
        <v>46.21</v>
        <stp/>
        <stp>52HIGH</stp>
        <stp>SCHW</stp>
        <tr r="N406" s="1"/>
      </tp>
      <tp>
        <v>95.92</v>
        <stp/>
        <stp>52HIGH</stp>
        <stp>MCHP</stp>
        <tr r="N295" s="1"/>
      </tp>
      <tp>
        <v>75.680000000000007</v>
        <stp/>
        <stp>52HIGH</stp>
        <stp>PCAR</stp>
        <tr r="N353" s="1"/>
      </tp>
      <tp>
        <v>0</v>
        <stp/>
        <stp>52HIGH</stp>
        <stp>HCBK</stp>
        <tr r="N216" s="1"/>
      </tp>
      <tp t="s">
        <v>N/A</v>
        <stp/>
        <stp>OPEN</stp>
        <stp>BF-B</stp>
        <tr r="K63" s="1"/>
      </tp>
      <tp>
        <v>15.99</v>
        <stp/>
        <stp>52LOW</stp>
        <stp>DISCA</stp>
        <tr r="O139" s="1"/>
      </tp>
      <tp>
        <v>29.9</v>
        <stp/>
        <stp>52LOW</stp>
        <stp>NOV</stp>
        <tr r="O333" s="1"/>
      </tp>
      <tp>
        <v>220.72</v>
        <stp/>
        <stp>52LOW</stp>
        <stp>NOC</stp>
        <tr r="O332" s="1"/>
      </tp>
      <tp>
        <v>104.59</v>
        <stp/>
        <stp>HIGH</stp>
        <stp>CELG</stp>
        <tr r="L90" s="1"/>
      </tp>
      <tp t="s">
        <v>N/A</v>
        <stp/>
        <stp>HIGH</stp>
        <stp>DELL</stp>
        <tr r="L131" s="1"/>
      </tp>
      <tp>
        <v>49.95</v>
        <stp/>
        <stp>52LOW</stp>
        <stp>NKE</stp>
        <tr r="O331" s="1"/>
      </tp>
      <tp>
        <v>30.4</v>
        <stp/>
        <stp>52LOW</stp>
        <stp>NEM</stp>
        <tr r="O327" s="1"/>
      </tp>
      <tp>
        <v>112.63</v>
        <stp/>
        <stp>52LOW</stp>
        <stp>NEE</stp>
        <tr r="O326" s="1"/>
      </tp>
      <tp>
        <v>24.41</v>
        <stp/>
        <stp>52LOW</stp>
        <stp>NFX</stp>
        <tr r="O329" s="1"/>
      </tp>
      <tp t="s">
        <v>N/A</v>
        <stp/>
        <stp>HIGH</stp>
        <stp>BEAM</stp>
        <tr r="L61" s="1"/>
      </tp>
      <tp>
        <v>396.36</v>
        <stp/>
        <stp>HIGH</stp>
        <stp>REGN</stp>
        <tr r="L391" s="1"/>
      </tp>
      <tp>
        <v>5.32</v>
        <stp/>
        <stp>52LOW</stp>
        <stp>NBR</stp>
        <tr r="O323" s="1"/>
      </tp>
      <tp>
        <v>22.984999999999999</v>
        <stp/>
        <stp>52LOW</stp>
        <stp>NBL</stp>
        <tr r="O322" s="1"/>
      </tp>
      <tp t="s">
        <v>N/A</v>
        <stp/>
        <stp>52LOW</stp>
        <stp>NYX</stp>
        <tr r="O343" s="1"/>
      </tp>
      <tp>
        <v>66.099999999999994</v>
        <stp/>
        <stp>HIGH</stp>
        <stp>CERN</stp>
        <tr r="L91" s="1"/>
      </tp>
      <tp>
        <v>51.67</v>
        <stp/>
        <stp>52LOW</stp>
        <stp>NUE</stp>
        <tr r="O339" s="1"/>
      </tp>
      <tp>
        <v>27.454999999999998</v>
        <stp/>
        <stp>52LOW</stp>
        <stp>NWL</stp>
        <tr r="O341" s="1"/>
      </tp>
      <tp t="s">
        <v>N/A</v>
        <stp/>
        <stp>HIGH</stp>
        <stp>PETM</stp>
        <tr r="L361" s="1"/>
      </tp>
      <tp>
        <v>10.75</v>
        <stp/>
        <stp>52LOW</stp>
        <stp>NRG</stp>
        <tr r="O334" s="1"/>
      </tp>
      <tp>
        <v>102.59099999999999</v>
        <stp/>
        <stp>52LOW</stp>
        <stp>NSC</stp>
        <tr r="O335" s="1"/>
      </tp>
      <tp>
        <v>14.74</v>
        <stp/>
        <stp>52HIGH</stp>
        <stp>HBAN</stp>
        <tr r="N215" s="1"/>
      </tp>
      <tp>
        <v>39.274999999999999</v>
        <stp/>
        <stp>52HIGH</stp>
        <stp>EBAY</stp>
        <tr r="N155" s="1"/>
      </tp>
      <tp>
        <v>20.13</v>
        <stp/>
        <stp>52HIGH</stp>
        <stp>PBCT</stp>
        <tr r="N351" s="1"/>
      </tp>
      <tp>
        <v>98.26</v>
        <stp/>
        <stp>52HIGH</stp>
        <stp>ABBV</stp>
        <tr r="N7" s="1"/>
      </tp>
      <tp>
        <v>48.83</v>
        <stp/>
        <stp>52HIGH</stp>
        <stp>BBBY</stp>
        <tr r="N56" s="1"/>
      </tp>
      <tp>
        <v>64.87</v>
        <stp/>
        <stp>52HIGH</stp>
        <stp>SBUX</stp>
        <tr r="N404" s="1"/>
      </tp>
      <tp>
        <v>94.49</v>
        <stp/>
        <stp>HIGH</stp>
        <stp>ABBV</stp>
        <tr r="L7" s="1"/>
      </tp>
      <tp>
        <v>21.07</v>
        <stp/>
        <stp>HIGH</stp>
        <stp>BBBY</stp>
        <tr r="L56" s="1"/>
      </tp>
      <tp>
        <v>18.239999999999998</v>
        <stp/>
        <stp>HIGH</stp>
        <stp>PBCT</stp>
        <tr r="L351" s="1"/>
      </tp>
      <tp>
        <v>113.16</v>
        <stp/>
        <stp>52LOW</stp>
        <stp>IFF</stp>
        <tr r="O237" s="1"/>
      </tp>
      <tp>
        <v>35.71</v>
        <stp/>
        <stp>HIGH</stp>
        <stp>EBAY</stp>
        <tr r="L155" s="1"/>
      </tp>
      <tp>
        <v>13.55</v>
        <stp/>
        <stp>HIGH</stp>
        <stp>HBAN</stp>
        <tr r="L215" s="1"/>
      </tp>
      <tp>
        <v>17.25</v>
        <stp/>
        <stp>52LOW</stp>
        <stp>IGT</stp>
        <tr r="O238" s="1"/>
      </tp>
      <tp>
        <v>139.13</v>
        <stp/>
        <stp>52LOW</stp>
        <stp>IBM</stp>
        <tr r="O235" s="1"/>
      </tp>
      <tp>
        <v>53.91</v>
        <stp/>
        <stp>52LOW</stp>
        <stp>ICE</stp>
        <tr r="O236" s="1"/>
      </tp>
      <tp>
        <v>110.33</v>
        <stp/>
        <stp>Mark</stp>
        <stp>ZMH</stp>
        <tr r="P503" s="1"/>
      </tp>
      <tp>
        <v>0</v>
        <stp/>
        <stp>Last</stp>
        <stp>ZMH</stp>
        <tr r="B503" s="1"/>
      </tp>
      <tp>
        <v>120.06</v>
        <stp/>
        <stp>52LOW</stp>
        <stp>ITW</stp>
        <tr r="O246" s="1"/>
      </tp>
      <tp>
        <v>28.75</v>
        <stp/>
        <stp>52LOW</stp>
        <stp>IVZ</stp>
        <tr r="O247" s="1"/>
      </tp>
      <tp>
        <v>18.3</v>
        <stp/>
        <stp>52LOW</stp>
        <stp>IPG</stp>
        <tr r="O242" s="1"/>
      </tp>
      <tp>
        <v>31.29</v>
        <stp/>
        <stp>52LOW</stp>
        <stp>IRM</stp>
        <tr r="O244" s="1"/>
      </tp>
      <tp>
        <v>57.43</v>
        <stp/>
        <stp>HIGH</stp>
        <stp>SBUX</stp>
        <tr r="L404" s="1"/>
      </tp>
      <tp>
        <v>147.16999999999999</v>
        <stp/>
        <stp>52HIGH</stp>
        <stp>CELG</stp>
        <tr r="N90" s="1"/>
      </tp>
      <tp t="s">
        <v>N/A</v>
        <stp/>
        <stp>52HIGH</stp>
        <stp>DELL</stp>
        <tr r="N131" s="1"/>
      </tp>
      <tp>
        <v>543.55179999999996</v>
        <stp/>
        <stp>52HIGH</stp>
        <stp>REGN</stp>
        <tr r="N391" s="1"/>
      </tp>
      <tp t="s">
        <v>N/A</v>
        <stp/>
        <stp>52HIGH</stp>
        <stp>BEAM</stp>
        <tr r="N61" s="1"/>
      </tp>
      <tp t="s">
        <v>N/A</v>
        <stp/>
        <stp>52HIGH</stp>
        <stp>PETM</stp>
        <tr r="N361" s="1"/>
      </tp>
      <tp>
        <v>73.86</v>
        <stp/>
        <stp>52HIGH</stp>
        <stp>CERN</stp>
        <tr r="N91" s="1"/>
      </tp>
      <tp>
        <v>44.86</v>
        <stp/>
        <stp>HIGH</stp>
        <stp>SCHW</stp>
        <tr r="L406" s="1"/>
      </tp>
      <tp>
        <v>91.59</v>
        <stp/>
        <stp>HIGH</stp>
        <stp>MCHP</stp>
        <tr r="L295" s="1"/>
      </tp>
      <tp t="s">
        <v>N/A</v>
        <stp/>
        <stp>52LOW</stp>
        <stp>HNZ</stp>
        <tr r="O222" s="1"/>
      </tp>
      <tp>
        <v>56.87</v>
        <stp/>
        <stp>52LOW</stp>
        <stp>HOT</stp>
        <tr r="O225" s="1"/>
      </tp>
      <tp>
        <v>111.78</v>
        <stp/>
        <stp>52LOW</stp>
        <stp>HON</stp>
        <tr r="O224" s="1"/>
      </tp>
      <tp>
        <v>44.52</v>
        <stp/>
        <stp>52LOW</stp>
        <stp>HOG</stp>
        <tr r="O223" s="1"/>
      </tp>
      <tp>
        <v>66.95</v>
        <stp/>
        <stp>HIGH</stp>
        <stp>QCOM</stp>
        <tr r="L386" s="1"/>
      </tp>
      <tp>
        <v>46.3</v>
        <stp/>
        <stp>52LOW</stp>
        <stp>HIG</stp>
        <tr r="O221" s="1"/>
      </tp>
      <tp>
        <v>1749.6</v>
        <stp/>
        <stp>HIGH</stp>
        <stp>PCLN</stp>
        <tr r="L356" s="1"/>
      </tp>
      <tp>
        <v>0</v>
        <stp/>
        <stp>HIGH</stp>
        <stp>HCBK</stp>
        <tr r="L216" s="1"/>
      </tp>
      <tp>
        <v>37.25</v>
        <stp/>
        <stp>52LOW</stp>
        <stp>HES</stp>
        <tr r="O220" s="1"/>
      </tp>
      <tp>
        <v>69</v>
        <stp/>
        <stp>HIGH</stp>
        <stp>PCAR</stp>
        <tr r="L353" s="1"/>
      </tp>
      <tp>
        <v>77.2</v>
        <stp/>
        <stp>52LOW</stp>
        <stp>HAS</stp>
        <tr r="O214" s="1"/>
      </tp>
      <tp>
        <v>64.930000000000007</v>
        <stp/>
        <stp>52LOW</stp>
        <stp>HAR</stp>
        <tr r="O213" s="1"/>
      </tp>
      <tp>
        <v>38.180999999999997</v>
        <stp/>
        <stp>52LOW</stp>
        <stp>HAL</stp>
        <tr r="O212" s="1"/>
      </tp>
      <tp>
        <v>25.085000000000001</v>
        <stp/>
        <stp>52LOW</stp>
        <stp>HCP</stp>
        <tr r="O218" s="1"/>
      </tp>
      <tp>
        <v>61.08</v>
        <stp/>
        <stp>52LOW</stp>
        <stp>HCN</stp>
        <tr r="O217" s="1"/>
      </tp>
      <tp>
        <v>65.430000000000007</v>
        <stp/>
        <stp>OPEN</stp>
        <stp>PAYX</stp>
        <tr r="K350" s="1"/>
      </tp>
      <tp>
        <v>186.25</v>
        <stp/>
        <stp>52LOW</stp>
        <stp>HUM</stp>
        <tr r="O234" s="1"/>
      </tp>
      <tp>
        <v>171.04</v>
        <stp/>
        <stp>OPEN</stp>
        <stp>AAPL</stp>
        <tr r="K6" s="1"/>
      </tp>
      <tp>
        <v>14.4</v>
        <stp/>
        <stp>52LOW</stp>
        <stp>HPQ</stp>
        <tr r="O227" s="1"/>
      </tp>
      <tp>
        <v>99.13</v>
        <stp/>
        <stp>52LOW</stp>
        <stp>HRS</stp>
        <tr r="O230" s="1"/>
      </tp>
      <tp>
        <v>29.75</v>
        <stp/>
        <stp>52LOW</stp>
        <stp>HRL</stp>
        <tr r="O229" s="1"/>
      </tp>
      <tp>
        <v>19.850000000000001</v>
        <stp/>
        <stp>52LOW</stp>
        <stp>HRB</stp>
        <tr r="O228" s="1"/>
      </tp>
      <tp>
        <v>48.45</v>
        <stp/>
        <stp>OPEN</stp>
        <stp>FAST</stp>
        <tr r="K177" s="1"/>
      </tp>
      <tp>
        <v>95.68</v>
        <stp/>
        <stp>52LOW</stp>
        <stp>HSY</stp>
        <tr r="O233" s="1"/>
      </tp>
      <tp>
        <v>0</v>
        <stp/>
        <stp>52LOW</stp>
        <stp>HSP</stp>
        <tr r="O231" s="1"/>
      </tp>
      <tp>
        <v>16.399999999999999</v>
        <stp/>
        <stp>52LOW</stp>
        <stp>HST</stp>
        <tr r="O232" s="1"/>
      </tp>
      <tp>
        <v>47.23</v>
        <stp/>
        <stp>52HIGH</stp>
        <stp>MDLZ</stp>
        <tr r="N298" s="1"/>
      </tp>
      <tp>
        <v>78.31</v>
        <stp/>
        <stp>52HIGH</stp>
        <stp>NDAQ</stp>
        <tr r="N324" s="1"/>
      </tp>
      <tp>
        <v>49.264000000000003</v>
        <stp/>
        <stp>52HIGH</stp>
        <stp>PDCO</stp>
        <tr r="N358" s="1"/>
      </tp>
      <tp>
        <v>184.44</v>
        <stp/>
        <stp>52HIGH</stp>
        <stp>ADBE</stp>
        <tr r="N13" s="1"/>
      </tp>
      <tp>
        <v>127</v>
        <stp/>
        <stp>52HIGH</stp>
        <stp>ADSK</stp>
        <tr r="N17" s="1"/>
      </tp>
      <tp>
        <v>14.244999999999999</v>
        <stp/>
        <stp>52HIGH</stp>
        <stp>JDSU</stp>
        <tr r="N251" s="1"/>
      </tp>
      <tp>
        <v>16.82</v>
        <stp/>
        <stp>LOW</stp>
        <stp>DISCA</stp>
        <tr r="M139" s="1"/>
      </tp>
      <tp>
        <v>54.17</v>
        <stp/>
        <stp>52LOW</stp>
        <stp>KMX</stp>
        <tr r="O264" s="1"/>
      </tp>
      <tp>
        <v>16.809999999999999</v>
        <stp/>
        <stp>52LOW</stp>
        <stp>KMI</stp>
        <tr r="O263" s="1"/>
      </tp>
      <tp>
        <v>109.67</v>
        <stp/>
        <stp>52LOW</stp>
        <stp>KMB</stp>
        <tr r="O262" s="1"/>
      </tp>
      <tp>
        <v>66.42</v>
        <stp/>
        <stp>Mark</stp>
        <stp>XYL</stp>
        <tr r="P499" s="1"/>
      </tp>
      <tp>
        <v>66.42</v>
        <stp/>
        <stp>Last</stp>
        <stp>XYL</stp>
        <tr r="B499" s="1"/>
      </tp>
      <tp>
        <v>17.02</v>
        <stp/>
        <stp>52LOW</stp>
        <stp>KIM</stp>
        <tr r="O260" s="1"/>
      </tp>
      <tp>
        <v>28.36</v>
        <stp/>
        <stp>Last</stp>
        <stp>XRX</stp>
        <tr r="B498" s="1"/>
      </tp>
      <tp>
        <v>16.28</v>
        <stp/>
        <stp>52LOW</stp>
        <stp>KEY</stp>
        <tr r="O259" s="1"/>
      </tp>
      <tp>
        <v>28.36</v>
        <stp/>
        <stp>Mark</stp>
        <stp>XRX</stp>
        <tr r="P498" s="1"/>
      </tp>
      <tp>
        <v>35.64</v>
        <stp/>
        <stp>OPEN</stp>
        <stp>EBAY</stp>
        <tr r="K155" s="1"/>
      </tp>
      <tp>
        <v>13.32</v>
        <stp/>
        <stp>OPEN</stp>
        <stp>HBAN</stp>
        <tr r="K215" s="1"/>
      </tp>
      <tp>
        <v>93.8</v>
        <stp/>
        <stp>OPEN</stp>
        <stp>ABBV</stp>
        <tr r="K7" s="1"/>
      </tp>
      <tp>
        <v>20.49</v>
        <stp/>
        <stp>OPEN</stp>
        <stp>BBBY</stp>
        <tr r="K56" s="1"/>
      </tp>
      <tp>
        <v>18.03</v>
        <stp/>
        <stp>OPEN</stp>
        <stp>PBCT</stp>
        <tr r="K351" s="1"/>
      </tp>
      <tp>
        <v>80.239999999999995</v>
        <stp/>
        <stp>Mark</stp>
        <stp>XOM</stp>
        <tr r="P496" s="1"/>
      </tp>
      <tp>
        <v>80.239999999999995</v>
        <stp/>
        <stp>Last</stp>
        <stp>XOM</stp>
        <tr r="B496" s="1"/>
      </tp>
      <tp>
        <v>57.24</v>
        <stp/>
        <stp>OPEN</stp>
        <stp>SBUX</stp>
        <tr r="K404" s="1"/>
      </tp>
      <tp>
        <v>50.89</v>
        <stp/>
        <stp>Mark</stp>
        <stp>XEL</stp>
        <tr r="P493" s="1"/>
      </tp>
      <tp>
        <v>35.159999999999997</v>
        <stp/>
        <stp>52LOW</stp>
        <stp>KSS</stp>
        <tr r="O268" s="1"/>
      </tp>
      <tp>
        <v>50.89</v>
        <stp/>
        <stp>Last</stp>
        <stp>XEL</stp>
        <tr r="B493" s="1"/>
      </tp>
      <tp>
        <v>42.18</v>
        <stp/>
        <stp>52HIGH</stp>
        <stp>CMCSA</stp>
        <tr r="N102" s="1"/>
      </tp>
      <tp>
        <v>36.159999999999997</v>
        <stp/>
        <stp>BID</stp>
        <stp>CMCSA</stp>
        <tr r="F102" s="1"/>
      </tp>
      <tp>
        <v>1731</v>
        <stp/>
        <stp>OPEN</stp>
        <stp>PCLN</stp>
        <tr r="K356" s="1"/>
      </tp>
      <tp>
        <v>109.32</v>
        <stp/>
        <stp>52LOW</stp>
        <stp>JNJ</stp>
        <tr r="O253" s="1"/>
      </tp>
      <tp>
        <v>66.37</v>
        <stp/>
        <stp>OPEN</stp>
        <stp>QCOM</stp>
        <tr r="K386" s="1"/>
      </tp>
      <tp>
        <v>14.04</v>
        <stp/>
        <stp>52LOW</stp>
        <stp>JOY</stp>
        <tr r="O255" s="1"/>
      </tp>
      <tp>
        <v>91.02</v>
        <stp/>
        <stp>OPEN</stp>
        <stp>MCHP</stp>
        <tr r="K295" s="1"/>
      </tp>
      <tp>
        <v>44.33</v>
        <stp/>
        <stp>OPEN</stp>
        <stp>SCHW</stp>
        <tr r="K406" s="1"/>
      </tp>
      <tp>
        <v>49.31</v>
        <stp/>
        <stp>52LOW</stp>
        <stp>JEC</stp>
        <tr r="O252" s="1"/>
      </tp>
      <tp>
        <v>69</v>
        <stp/>
        <stp>OPEN</stp>
        <stp>PCAR</stp>
        <tr r="K353" s="1"/>
      </tp>
      <tp>
        <v>0</v>
        <stp/>
        <stp>OPEN</stp>
        <stp>HCBK</stp>
        <tr r="K216" s="1"/>
      </tp>
      <tp>
        <v>78.599999999999994</v>
        <stp/>
        <stp>Mark</stp>
        <stp>YUM</stp>
        <tr r="P501" s="1"/>
      </tp>
      <tp>
        <v>20.32</v>
        <stp/>
        <stp>52LOW</stp>
        <stp>JBL</stp>
        <tr r="O248" s="1"/>
      </tp>
      <tp>
        <v>2.35</v>
        <stp/>
        <stp>52LOW</stp>
        <stp>JCP</stp>
        <tr r="O250" s="1"/>
      </tp>
      <tp>
        <v>34.51</v>
        <stp/>
        <stp>52LOW</stp>
        <stp>JCI</stp>
        <tr r="O249" s="1"/>
      </tp>
      <tp>
        <v>78.599999999999994</v>
        <stp/>
        <stp>Last</stp>
        <stp>YUM</stp>
        <tr r="B501" s="1"/>
      </tp>
      <tp>
        <v>65.489999999999995</v>
        <stp/>
        <stp>HIGH</stp>
        <stp>PAYX</stp>
        <tr r="L350" s="1"/>
      </tp>
      <tp>
        <v>48.77</v>
        <stp/>
        <stp>HIGH</stp>
        <stp>FAST</stp>
        <tr r="L177" s="1"/>
      </tp>
      <tp>
        <v>171.39</v>
        <stp/>
        <stp>HIGH</stp>
        <stp>AAPL</stp>
        <tr r="L6" s="1"/>
      </tp>
      <tp>
        <v>37.792400000000001</v>
        <stp/>
        <stp>52LOW</stp>
        <stp>JWN</stp>
        <tr r="O257" s="1"/>
      </tp>
      <tp>
        <v>76.88</v>
        <stp/>
        <stp>52LOW</stp>
        <stp>JPM</stp>
        <tr r="O256" s="1"/>
      </tp>
      <tp>
        <v>204.38</v>
        <stp/>
        <stp>52HIGH</stp>
        <stp>NFLX</stp>
        <tr r="N328" s="1"/>
      </tp>
      <tp>
        <v>149.5</v>
        <stp/>
        <stp>52HIGH</stp>
        <stp>FFIV</stp>
        <tr r="N182" s="1"/>
      </tp>
      <tp t="s">
        <v>N/A</v>
        <stp/>
        <stp>52HIGH</stp>
        <stp>BF-B</stp>
        <tr r="N63" s="1"/>
      </tp>
      <tp>
        <v>97.48</v>
        <stp/>
        <stp>52LOW</stp>
        <stp>UNP</stp>
        <tr r="O459" s="1"/>
      </tp>
      <tp>
        <v>148.56</v>
        <stp/>
        <stp>52LOW</stp>
        <stp>UNH</stp>
        <tr r="O457" s="1"/>
      </tp>
      <tp>
        <v>41.4</v>
        <stp/>
        <stp>52LOW</stp>
        <stp>UNM</stp>
        <tr r="O458" s="1"/>
      </tp>
      <tp t="s">
        <v>N/A</v>
        <stp/>
        <stp>Last</stp>
        <stp>FRX</stp>
        <tr r="B192" s="1"/>
      </tp>
      <tp t="s">
        <v>N/A</v>
        <stp/>
        <stp>Mark</stp>
        <stp>FRX</stp>
        <tr r="P192" s="1"/>
      </tp>
      <tp>
        <v>6.96</v>
        <stp/>
        <stp>Last</stp>
        <stp>FTR</stp>
        <tr r="B195" s="1"/>
      </tp>
      <tp>
        <v>26.62</v>
        <stp/>
        <stp>Last</stp>
        <stp>FTI</stp>
        <tr r="B194" s="1"/>
      </tp>
      <tp>
        <v>26.62</v>
        <stp/>
        <stp>Mark</stp>
        <stp>FTI</stp>
        <tr r="P194" s="1"/>
      </tp>
      <tp>
        <v>6.96</v>
        <stp/>
        <stp>Mark</stp>
        <stp>FTR</stp>
        <tr r="P195" s="1"/>
      </tp>
      <tp>
        <v>18.399999999999999</v>
        <stp/>
        <stp>Last</stp>
        <stp>FHN</stp>
        <tr r="B183" s="1"/>
      </tp>
      <tp>
        <v>92.06</v>
        <stp/>
        <stp>Mark</stp>
        <stp>FIS</stp>
        <tr r="P184" s="1"/>
      </tp>
      <tp>
        <v>92.06</v>
        <stp/>
        <stp>Last</stp>
        <stp>FIS</stp>
        <tr r="B184" s="1"/>
      </tp>
      <tp>
        <v>18.399999999999999</v>
        <stp/>
        <stp>Mark</stp>
        <stp>FHN</stp>
        <tr r="P183" s="1"/>
      </tp>
      <tp>
        <v>46.7</v>
        <stp/>
        <stp>Last</stp>
        <stp>FLR</stp>
        <tr r="B188" s="1"/>
      </tp>
      <tp>
        <v>39.21</v>
        <stp/>
        <stp>Last</stp>
        <stp>FLS</stp>
        <tr r="B189" s="1"/>
      </tp>
      <tp>
        <v>92.94</v>
        <stp/>
        <stp>Mark</stp>
        <stp>FMC</stp>
        <tr r="P190" s="1"/>
      </tp>
      <tp>
        <v>92.94</v>
        <stp/>
        <stp>Last</stp>
        <stp>FMC</stp>
        <tr r="B190" s="1"/>
      </tp>
      <tp>
        <v>39.21</v>
        <stp/>
        <stp>Mark</stp>
        <stp>FLS</stp>
        <tr r="P189" s="1"/>
      </tp>
      <tp>
        <v>46.7</v>
        <stp/>
        <stp>Mark</stp>
        <stp>FLR</stp>
        <tr r="P188" s="1"/>
      </tp>
      <tp>
        <v>106.21</v>
        <stp/>
        <stp>52LOW</stp>
        <stp>UTX</stp>
        <tr r="O463" s="1"/>
      </tp>
      <tp>
        <v>13.86</v>
        <stp/>
        <stp>Mark</stp>
        <stp>FCX</stp>
        <tr r="P178" s="1"/>
      </tp>
      <tp>
        <v>13.86</v>
        <stp/>
        <stp>Last</stp>
        <stp>FCX</stp>
        <tr r="B178" s="1"/>
      </tp>
      <tp>
        <v>102.12</v>
        <stp/>
        <stp>52LOW</stp>
        <stp>UPS</stp>
        <tr r="O460" s="1"/>
      </tp>
      <tp>
        <v>216</v>
        <stp/>
        <stp>Last</stp>
        <stp>FDX</stp>
        <tr r="B180" s="1"/>
      </tp>
      <tp>
        <v>0</v>
        <stp/>
        <stp>Last</stp>
        <stp>FDO</stp>
        <tr r="B179" s="1"/>
      </tp>
      <tp>
        <v>79.58</v>
        <stp/>
        <stp>Mark</stp>
        <stp>FDO</stp>
        <tr r="P179" s="1"/>
      </tp>
      <tp>
        <v>216</v>
        <stp/>
        <stp>Mark</stp>
        <stp>FDX</stp>
        <tr r="P180" s="1"/>
      </tp>
      <tp>
        <v>47.59</v>
        <stp/>
        <stp>52LOW</stp>
        <stp>USB</stp>
        <tr r="O462" s="1"/>
      </tp>
      <tp>
        <v>34.200000000000003</v>
        <stp/>
        <stp>52HIGH</stp>
        <stp>SYMC</stp>
        <tr r="N431" s="1"/>
      </tp>
      <tp>
        <v>156.4</v>
        <stp/>
        <stp>52HIGH</stp>
        <stp>WYNN</stp>
        <tr r="N491" s="1"/>
      </tp>
      <tp>
        <v>69.14</v>
        <stp/>
        <stp>52LOW</stp>
        <stp>TMK</stp>
        <tr r="O444" s="1"/>
      </tp>
      <tp>
        <v>139.07</v>
        <stp/>
        <stp>52LOW</stp>
        <stp>TMO</stp>
        <tr r="O445" s="1"/>
      </tp>
      <tp>
        <v>12.25</v>
        <stp/>
        <stp>52LOW</stp>
        <stp>THC</stp>
        <tr r="O441" s="1"/>
      </tp>
      <tp>
        <v>75.33</v>
        <stp/>
        <stp>52LOW</stp>
        <stp>TIF</stp>
        <tr r="O442" s="1"/>
      </tp>
      <tp>
        <v>66.44</v>
        <stp/>
        <stp>52LOW</stp>
        <stp>TJX</stp>
        <tr r="O443" s="1"/>
      </tp>
      <tp>
        <v>26.27</v>
        <stp/>
        <stp>52LOW</stp>
        <stp>TDC</stp>
        <tr r="O435" s="1"/>
      </tp>
      <tp>
        <v>23.39</v>
        <stp/>
        <stp>52LOW</stp>
        <stp>TER</stp>
        <tr r="O439" s="1"/>
      </tp>
      <tp>
        <v>66.14</v>
        <stp/>
        <stp>52LOW</stp>
        <stp>TEL</stp>
        <tr r="O438" s="1"/>
      </tp>
      <tp>
        <v>0</v>
        <stp/>
        <stp>52LOW</stp>
        <stp>TEG</stp>
        <tr r="O437" s="1"/>
      </tp>
      <tp>
        <v>29.4</v>
        <stp/>
        <stp>Last</stp>
        <stp>GPS</stp>
        <tr r="B207" s="1"/>
      </tp>
      <tp>
        <v>86.13</v>
        <stp/>
        <stp>Last</stp>
        <stp>GPC</stp>
        <tr r="B206" s="1"/>
      </tp>
      <tp>
        <v>86.13</v>
        <stp/>
        <stp>Mark</stp>
        <stp>GPC</stp>
        <tr r="P206" s="1"/>
      </tp>
      <tp>
        <v>48.56</v>
        <stp/>
        <stp>52LOW</stp>
        <stp>TGT</stp>
        <tr r="O440" s="1"/>
      </tp>
      <tp>
        <v>29.38</v>
        <stp/>
        <stp>Mark</stp>
        <stp>GPS</stp>
        <tr r="P207" s="1"/>
      </tp>
      <tp>
        <v>197.82</v>
        <stp/>
        <stp>Mark</stp>
        <stp>GWW</stp>
        <tr r="P211" s="1"/>
      </tp>
      <tp>
        <v>197.82</v>
        <stp/>
        <stp>Last</stp>
        <stp>GWW</stp>
        <tr r="B211" s="1"/>
      </tp>
      <tp>
        <v>78.099999999999994</v>
        <stp/>
        <stp>52LOW</stp>
        <stp>TAP</stp>
        <tr r="O434" s="1"/>
      </tp>
      <tp>
        <v>53.72</v>
        <stp/>
        <stp>Mark</stp>
        <stp>GIS</stp>
        <tr r="P201" s="1"/>
      </tp>
      <tp>
        <v>53.72</v>
        <stp/>
        <stp>Last</stp>
        <stp>GIS</stp>
        <tr r="B201" s="1"/>
      </tp>
      <tp>
        <v>3.38</v>
        <stp/>
        <stp>Last</stp>
        <stp>GNW</stp>
        <tr r="B204" s="1"/>
      </tp>
      <tp>
        <v>43.66</v>
        <stp/>
        <stp>52LOW</stp>
        <stp>TXT</stp>
        <tr r="O455" s="1"/>
      </tp>
      <tp>
        <v>69.92</v>
        <stp/>
        <stp>52LOW</stp>
        <stp>TXN</stp>
        <tr r="O454" s="1"/>
      </tp>
      <tp>
        <v>30.303664000000001</v>
        <stp/>
        <stp>52LOW</stp>
        <stp>TYC</stp>
        <tr r="O456" s="1"/>
      </tp>
      <tp>
        <v>3.38</v>
        <stp/>
        <stp>Mark</stp>
        <stp>GNW</stp>
        <tr r="P204" s="1"/>
      </tp>
      <tp>
        <v>31.63</v>
        <stp/>
        <stp>Last</stp>
        <stp>GLW</stp>
        <tr r="B202" s="1"/>
      </tp>
      <tp>
        <v>16.309999999999999</v>
        <stp/>
        <stp>Mark</stp>
        <stp>GME</stp>
        <tr r="P203" s="1"/>
      </tp>
      <tp>
        <v>16.309999999999999</v>
        <stp/>
        <stp>Last</stp>
        <stp>GME</stp>
        <tr r="B203" s="1"/>
      </tp>
      <tp>
        <v>31.63</v>
        <stp/>
        <stp>Mark</stp>
        <stp>GLW</stp>
        <tr r="P202" s="1"/>
      </tp>
      <tp>
        <v>11.48</v>
        <stp/>
        <stp>Mark</stp>
        <stp>GCI</stp>
        <tr r="P197" s="1"/>
      </tp>
      <tp>
        <v>11.48</v>
        <stp/>
        <stp>Last</stp>
        <stp>GCI</stp>
        <tr r="B197" s="1"/>
      </tp>
      <tp>
        <v>65.98</v>
        <stp/>
        <stp>Mark</stp>
        <stp>GAS</stp>
        <tr r="P196" s="1"/>
      </tp>
      <tp>
        <v>85.88</v>
        <stp/>
        <stp>52LOW</stp>
        <stp>TWX</stp>
        <tr r="O453" s="1"/>
      </tp>
      <tp>
        <v>0</v>
        <stp/>
        <stp>Last</stp>
        <stp>GAS</stp>
        <tr r="B196" s="1"/>
      </tp>
      <tp>
        <v>0</v>
        <stp/>
        <stp>52LOW</stp>
        <stp>TWC</stp>
        <tr r="O452" s="1"/>
      </tp>
      <tp>
        <v>110.395</v>
        <stp/>
        <stp>52LOW</stp>
        <stp>TRV</stp>
        <tr r="O448" s="1"/>
      </tp>
      <tp>
        <v>47.01</v>
        <stp/>
        <stp>52LOW</stp>
        <stp>TSS</stp>
        <tr r="O451" s="1"/>
      </tp>
      <tp>
        <v>72.78</v>
        <stp/>
        <stp>52LOW</stp>
        <stp>TSO</stp>
        <tr r="O450" s="1"/>
      </tp>
      <tp>
        <v>55.72</v>
        <stp/>
        <stp>52LOW</stp>
        <stp>TSN</stp>
        <tr r="O449" s="1"/>
      </tp>
      <tp>
        <v>161</v>
        <stp/>
        <stp>52HIGH</stp>
        <stp>EXPE</stp>
        <tr r="N175" s="1"/>
      </tp>
      <tp>
        <v>62.63</v>
        <stp/>
        <stp>52HIGH</stp>
        <stp>EXPD</stp>
        <tr r="N174" s="1"/>
      </tp>
      <tp>
        <v>17.57</v>
        <stp/>
        <stp>ASK</stp>
        <stp>DISCA</stp>
        <tr r="G139" s="1"/>
      </tp>
      <tp>
        <v>100.03</v>
        <stp/>
        <stp>52LOW</stp>
        <stp>WLP</stp>
        <tr r="O482" s="1"/>
      </tp>
      <tp>
        <v>65.28</v>
        <stp/>
        <stp>52LOW</stp>
        <stp>WMT</stp>
        <tr r="O485" s="1"/>
      </tp>
      <tp>
        <v>26.98</v>
        <stp/>
        <stp>52LOW</stp>
        <stp>WMB</stp>
        <tr r="O484" s="1"/>
      </tp>
      <tp>
        <v>158.80000000000001</v>
        <stp/>
        <stp>52LOW</stp>
        <stp>WHR</stp>
        <tr r="O480" s="1"/>
      </tp>
      <tp>
        <v>1.73</v>
        <stp/>
        <stp>52LOW</stp>
        <stp>WIN</stp>
        <tr r="O481" s="1"/>
      </tp>
      <tp>
        <v>57.62</v>
        <stp/>
        <stp>52LOW</stp>
        <stp>WDC</stp>
        <tr r="O476" s="1"/>
      </tp>
      <tp>
        <v>82.81</v>
        <stp/>
        <stp>Last</stp>
        <stp>DRI</stp>
        <tr r="B148" s="1"/>
      </tp>
      <tp>
        <v>82.81</v>
        <stp/>
        <stp>Mark</stp>
        <stp>DRI</stp>
        <tr r="P148" s="1"/>
      </tp>
      <tp>
        <v>54.83</v>
        <stp/>
        <stp>52LOW</stp>
        <stp>WEC</stp>
        <tr r="O477" s="1"/>
      </tp>
      <tp>
        <v>87.26</v>
        <stp/>
        <stp>Last</stp>
        <stp>DPS</stp>
        <tr r="B147" s="1"/>
      </tp>
      <tp t="s">
        <v>N/A</v>
        <stp/>
        <stp>52LOW</stp>
        <stp>WFM</stp>
        <tr r="O479" s="1"/>
      </tp>
      <tp>
        <v>49.27</v>
        <stp/>
        <stp>52LOW</stp>
        <stp>WFC</stp>
        <tr r="O478" s="1"/>
      </tp>
      <tp>
        <v>87.3</v>
        <stp/>
        <stp>Mark</stp>
        <stp>DPS</stp>
        <tr r="P147" s="1"/>
      </tp>
      <tp>
        <v>54.91</v>
        <stp/>
        <stp>Last</stp>
        <stp>DVA</stp>
        <tr r="B152" s="1"/>
      </tp>
      <tp>
        <v>38.68</v>
        <stp/>
        <stp>Last</stp>
        <stp>DVN</stp>
        <tr r="B153" s="1"/>
      </tp>
      <tp>
        <v>38.65</v>
        <stp/>
        <stp>Mark</stp>
        <stp>DVN</stp>
        <tr r="P153" s="1"/>
      </tp>
      <tp>
        <v>54.91</v>
        <stp/>
        <stp>Mark</stp>
        <stp>DVA</stp>
        <tr r="P152" s="1"/>
      </tp>
      <tp>
        <v>133.35</v>
        <stp/>
        <stp>52LOW</stp>
        <stp>WAT</stp>
        <tr r="O475" s="1"/>
      </tp>
      <tp>
        <v>100.03</v>
        <stp/>
        <stp>52LOW</stp>
        <stp>WAG</stp>
        <tr r="O474" s="1"/>
      </tp>
      <tp t="s">
        <v>N/A</v>
        <stp/>
        <stp>52LOW</stp>
        <stp>BRK-B</stp>
        <tr r="O73" s="1"/>
      </tp>
      <tp>
        <v>55.68</v>
        <stp/>
        <stp>Last</stp>
        <stp>DTV</stp>
        <tr r="B150" s="1"/>
      </tp>
      <tp>
        <v>88.52</v>
        <stp/>
        <stp>Mark</stp>
        <stp>DUK</stp>
        <tr r="P151" s="1"/>
      </tp>
      <tp>
        <v>112.92</v>
        <stp/>
        <stp>Last</stp>
        <stp>DTE</stp>
        <tr r="B149" s="1"/>
      </tp>
      <tp>
        <v>112.91</v>
        <stp/>
        <stp>Mark</stp>
        <stp>DTE</stp>
        <tr r="P149" s="1"/>
      </tp>
      <tp>
        <v>88.52</v>
        <stp/>
        <stp>Last</stp>
        <stp>DUK</stp>
        <tr r="B151" s="1"/>
      </tp>
      <tp>
        <v>55.68</v>
        <stp/>
        <stp>Mark</stp>
        <stp>DTV</stp>
        <tr r="P150" s="1"/>
      </tp>
      <tp>
        <v>93.3</v>
        <stp/>
        <stp>Last</stp>
        <stp>DHR</stp>
        <tr r="B137" s="1"/>
      </tp>
      <tp>
        <v>103.44</v>
        <stp/>
        <stp>Mark</stp>
        <stp>DIS</stp>
        <tr r="P138" s="1"/>
      </tp>
      <tp>
        <v>48.13</v>
        <stp/>
        <stp>Last</stp>
        <stp>DHI</stp>
        <tr r="B136" s="1"/>
      </tp>
      <tp>
        <v>48.13</v>
        <stp/>
        <stp>Mark</stp>
        <stp>DHI</stp>
        <tr r="P136" s="1"/>
      </tp>
      <tp>
        <v>103.44</v>
        <stp/>
        <stp>Last</stp>
        <stp>DIS</stp>
        <tr r="B138" s="1"/>
      </tp>
      <tp>
        <v>93.3</v>
        <stp/>
        <stp>Mark</stp>
        <stp>DHR</stp>
        <tr r="P137" s="1"/>
      </tp>
      <tp>
        <v>1.74</v>
        <stp/>
        <stp>Last</stp>
        <stp>DNR</stp>
        <tr r="B143" s="1"/>
      </tp>
      <tp>
        <v>119.27</v>
        <stp/>
        <stp>Last</stp>
        <stp>DNB</stp>
        <tr r="B142" s="1"/>
      </tp>
      <tp>
        <v>66.400000000000006</v>
        <stp/>
        <stp>Mark</stp>
        <stp>DOW</stp>
        <tr r="P146" s="1"/>
      </tp>
      <tp>
        <v>94.22</v>
        <stp/>
        <stp>Mark</stp>
        <stp>DOV</stp>
        <tr r="P145" s="1"/>
      </tp>
      <tp>
        <v>94.22</v>
        <stp/>
        <stp>Last</stp>
        <stp>DOV</stp>
        <tr r="B145" s="1"/>
      </tp>
      <tp>
        <v>66.650000000000006</v>
        <stp/>
        <stp>Last</stp>
        <stp>DOW</stp>
        <tr r="B146" s="1"/>
      </tp>
      <tp>
        <v>119.27</v>
        <stp/>
        <stp>Mark</stp>
        <stp>DNB</stp>
        <tr r="P142" s="1"/>
      </tp>
      <tp>
        <v>71.09</v>
        <stp/>
        <stp>52LOW</stp>
        <stp>WYN</stp>
        <tr r="O490" s="1"/>
      </tp>
      <tp>
        <v>1.74</v>
        <stp/>
        <stp>Mark</stp>
        <stp>DNR</stp>
        <tr r="P143" s="1"/>
      </tp>
      <tp>
        <v>8.39</v>
        <stp/>
        <stp>52LOW</stp>
        <stp>WPX</stp>
        <tr r="O487" s="1"/>
      </tp>
      <tp>
        <v>65.06</v>
        <stp/>
        <stp>Last</stp>
        <stp>DFS</stp>
        <tr r="B133" s="1"/>
      </tp>
      <tp>
        <v>93.04</v>
        <stp/>
        <stp>Mark</stp>
        <stp>DGX</stp>
        <tr r="P135" s="1"/>
      </tp>
      <tp t="s">
        <v>N/A</v>
        <stp/>
        <stp>52LOW</stp>
        <stp>WPO</stp>
        <tr r="O486" s="1"/>
      </tp>
      <tp>
        <v>93.04</v>
        <stp/>
        <stp>Last</stp>
        <stp>DGX</stp>
        <tr r="B135" s="1"/>
      </tp>
      <tp>
        <v>65.06</v>
        <stp/>
        <stp>Mark</stp>
        <stp>DFS</stp>
        <tr r="P133" s="1"/>
      </tp>
      <tp>
        <v>60.35</v>
        <stp/>
        <stp>52LOW</stp>
        <stp>VLO</stp>
        <tr r="O468" s="1"/>
      </tp>
      <tp>
        <v>108.95</v>
        <stp/>
        <stp>52LOW</stp>
        <stp>VMC</stp>
        <tr r="O469" s="1"/>
      </tp>
      <tp>
        <v>41.26</v>
        <stp/>
        <stp>Last</stp>
        <stp>EXC</stp>
        <tr r="B173" s="1"/>
      </tp>
      <tp>
        <v>71.894999999999996</v>
        <stp/>
        <stp>52LOW</stp>
        <stp>VNO</stp>
        <tr r="O470" s="1"/>
      </tp>
      <tp>
        <v>41.26</v>
        <stp/>
        <stp>Mark</stp>
        <stp>EXC</stp>
        <tr r="P173" s="1"/>
      </tp>
      <tp>
        <v>5.45</v>
        <stp/>
        <stp>Mark</stp>
        <stp>ESV</stp>
        <tr r="P168" s="1"/>
      </tp>
      <tp>
        <v>5.45</v>
        <stp/>
        <stp>Last</stp>
        <stp>ESV</stp>
        <tr r="B168" s="1"/>
      </tp>
      <tp>
        <v>48.05</v>
        <stp/>
        <stp>52LOW</stp>
        <stp>VFC</stp>
        <tr r="O466" s="1"/>
      </tp>
      <tp>
        <v>68.319999999999993</v>
        <stp/>
        <stp>Mark</stp>
        <stp>EQR</stp>
        <tr r="P165" s="1"/>
      </tp>
      <tp>
        <v>59.03</v>
        <stp/>
        <stp>Mark</stp>
        <stp>EQT</stp>
        <tr r="P166" s="1"/>
      </tp>
      <tp>
        <v>59.03</v>
        <stp/>
        <stp>Last</stp>
        <stp>EQT</stp>
        <tr r="B166" s="1"/>
      </tp>
      <tp>
        <v>68.319999999999993</v>
        <stp/>
        <stp>Last</stp>
        <stp>EQR</stp>
        <tr r="B165" s="1"/>
      </tp>
      <tp>
        <v>76.289302000000006</v>
        <stp/>
        <stp>52LOW</stp>
        <stp>VAR</stp>
        <tr r="O465" s="1"/>
      </tp>
      <tp>
        <v>86.51</v>
        <stp/>
        <stp>Last</stp>
        <stp>ETR</stp>
        <tr r="B171" s="1"/>
      </tp>
      <tp>
        <v>75.64</v>
        <stp/>
        <stp>Last</stp>
        <stp>ETN</stp>
        <tr r="B170" s="1"/>
      </tp>
      <tp>
        <v>75.64</v>
        <stp/>
        <stp>Mark</stp>
        <stp>ETN</stp>
        <tr r="P170" s="1"/>
      </tp>
      <tp>
        <v>86.51</v>
        <stp/>
        <stp>Mark</stp>
        <stp>ETR</stp>
        <tr r="P171" s="1"/>
      </tp>
      <tp>
        <v>80.89</v>
        <stp/>
        <stp>Mark</stp>
        <stp>EIX</stp>
        <tr r="P159" s="1"/>
      </tp>
      <tp>
        <v>80.89</v>
        <stp/>
        <stp>Last</stp>
        <stp>EIX</stp>
        <tr r="B159" s="1"/>
      </tp>
      <tp>
        <v>101.64</v>
        <stp/>
        <stp>Mark</stp>
        <stp>EOG</stp>
        <tr r="P164" s="1"/>
      </tp>
      <tp>
        <v>101.64</v>
        <stp/>
        <stp>Last</stp>
        <stp>EOG</stp>
        <tr r="B164" s="1"/>
      </tp>
      <tp>
        <v>89.74</v>
        <stp/>
        <stp>Mark</stp>
        <stp>EMN</stp>
        <tr r="P162" s="1"/>
      </tp>
      <tp>
        <v>29.03</v>
        <stp/>
        <stp>Mark</stp>
        <stp>EMC</stp>
        <tr r="P161" s="1"/>
      </tp>
      <tp>
        <v>59.85</v>
        <stp/>
        <stp>Mark</stp>
        <stp>EMR</stp>
        <tr r="P163" s="1"/>
      </tp>
      <tp>
        <v>59.85</v>
        <stp/>
        <stp>Last</stp>
        <stp>EMR</stp>
        <tr r="B163" s="1"/>
      </tp>
      <tp>
        <v>0</v>
        <stp/>
        <stp>Last</stp>
        <stp>EMC</stp>
        <tr r="B161" s="1"/>
      </tp>
      <tp>
        <v>89.74</v>
        <stp/>
        <stp>Last</stp>
        <stp>EMN</stp>
        <tr r="B162" s="1"/>
      </tp>
      <tp>
        <v>131.44999999999999</v>
        <stp/>
        <stp>Mark</stp>
        <stp>ECL</stp>
        <tr r="P156" s="1"/>
      </tp>
      <tp>
        <v>57.97</v>
        <stp/>
        <stp>52LOW</stp>
        <stp>VTR</stp>
        <tr r="O472" s="1"/>
      </tp>
      <tp>
        <v>131.44999999999999</v>
        <stp/>
        <stp>Last</stp>
        <stp>ECL</stp>
        <tr r="B156" s="1"/>
      </tp>
      <tp>
        <v>111.37</v>
        <stp/>
        <stp>Last</stp>
        <stp>EFX</stp>
        <tr r="B158" s="1"/>
      </tp>
      <tp>
        <v>111.37</v>
        <stp/>
        <stp>Mark</stp>
        <stp>EFX</stp>
        <tr r="P158" s="1"/>
      </tp>
      <tp>
        <v>125.04</v>
        <stp/>
        <stp>Last</stp>
        <stp>BXP</stp>
        <tr r="B77" s="1"/>
      </tp>
      <tp>
        <v>125.06</v>
        <stp/>
        <stp>Mark</stp>
        <stp>BXP</stp>
        <tr r="P77" s="1"/>
      </tp>
      <tp>
        <v>28.26</v>
        <stp/>
        <stp>Mark</stp>
        <stp>BSX</stp>
        <tr r="P74" s="1"/>
      </tp>
      <tp>
        <v>7.02</v>
        <stp/>
        <stp>52LOW</stp>
        <stp>QEP</stp>
        <tr r="O387" s="1"/>
      </tp>
      <tp>
        <v>28.26</v>
        <stp/>
        <stp>Last</stp>
        <stp>BSX</stp>
        <tr r="B74" s="1"/>
      </tp>
      <tp>
        <v>51.94</v>
        <stp/>
        <stp>Mark</stp>
        <stp>BWA</stp>
        <tr r="P76" s="1"/>
      </tp>
      <tp>
        <v>51.94</v>
        <stp/>
        <stp>Last</stp>
        <stp>BWA</stp>
        <tr r="B76" s="1"/>
      </tp>
      <tp>
        <v>31.49</v>
        <stp/>
        <stp>Last</stp>
        <stp>BTU</stp>
        <tr r="B75" s="1"/>
      </tp>
      <tp>
        <v>31.49</v>
        <stp/>
        <stp>Mark</stp>
        <stp>BTU</stp>
        <tr r="P75" s="1"/>
      </tp>
      <tp>
        <v>57.68</v>
        <stp/>
        <stp>Last</stp>
        <stp>BHI</stp>
        <tr r="B64" s="1"/>
      </tp>
      <tp>
        <v>57.71</v>
        <stp/>
        <stp>Mark</stp>
        <stp>BHI</stp>
        <tr r="P64" s="1"/>
      </tp>
      <tp t="s">
        <v>N/A</v>
        <stp/>
        <stp>Mark</stp>
        <stp>BMC</stp>
        <tr r="P69" s="1"/>
      </tp>
      <tp>
        <v>61.32</v>
        <stp/>
        <stp>Mark</stp>
        <stp>BMY</stp>
        <tr r="P71" s="1"/>
      </tp>
      <tp>
        <v>39.979999999999997</v>
        <stp/>
        <stp>Last</stp>
        <stp>BLL</stp>
        <tr r="B68" s="1"/>
      </tp>
      <tp>
        <v>45.95</v>
        <stp/>
        <stp>Mark</stp>
        <stp>BMS</stp>
        <tr r="P70" s="1"/>
      </tp>
      <tp>
        <v>473.99</v>
        <stp/>
        <stp>Last</stp>
        <stp>BLK</stp>
        <tr r="B67" s="1"/>
      </tp>
      <tp>
        <v>473.99</v>
        <stp/>
        <stp>Mark</stp>
        <stp>BLK</stp>
        <tr r="P67" s="1"/>
      </tp>
      <tp>
        <v>45.95</v>
        <stp/>
        <stp>Last</stp>
        <stp>BMS</stp>
        <tr r="B70" s="1"/>
      </tp>
      <tp>
        <v>39.979999999999997</v>
        <stp/>
        <stp>Mark</stp>
        <stp>BLL</stp>
        <tr r="P68" s="1"/>
      </tp>
      <tp>
        <v>61.32</v>
        <stp/>
        <stp>Last</stp>
        <stp>BMY</stp>
        <tr r="B71" s="1"/>
      </tp>
      <tp t="s">
        <v>N/A</v>
        <stp/>
        <stp>Last</stp>
        <stp>BMC</stp>
        <tr r="B69" s="1"/>
      </tp>
      <tp>
        <v>46.82</v>
        <stp/>
        <stp>Last</stp>
        <stp>BBT</stp>
        <tr r="B57" s="1"/>
      </tp>
      <tp>
        <v>55.83</v>
        <stp/>
        <stp>Last</stp>
        <stp>BBY</stp>
        <tr r="B58" s="1"/>
      </tp>
      <tp>
        <v>333.35</v>
        <stp/>
        <stp>Mark</stp>
        <stp>BCR</stp>
        <tr r="P59" s="1"/>
      </tp>
      <tp>
        <v>333.56</v>
        <stp/>
        <stp>Last</stp>
        <stp>BCR</stp>
        <tr r="B59" s="1"/>
      </tp>
      <tp>
        <v>55.8</v>
        <stp/>
        <stp>Mark</stp>
        <stp>BBY</stp>
        <tr r="P58" s="1"/>
      </tp>
      <tp>
        <v>46.82</v>
        <stp/>
        <stp>Mark</stp>
        <stp>BBT</stp>
        <tr r="P57" s="1"/>
      </tp>
      <tp>
        <v>26.6</v>
        <stp/>
        <stp>Mark</stp>
        <stp>BAC</stp>
        <tr r="P54" s="1"/>
      </tp>
      <tp>
        <v>63.88</v>
        <stp/>
        <stp>Mark</stp>
        <stp>BAX</stp>
        <tr r="P55" s="1"/>
      </tp>
      <tp>
        <v>63.88</v>
        <stp/>
        <stp>Last</stp>
        <stp>BAX</stp>
        <tr r="B55" s="1"/>
      </tp>
      <tp>
        <v>26.62</v>
        <stp/>
        <stp>Last</stp>
        <stp>BAC</stp>
        <tr r="B54" s="1"/>
      </tp>
      <tp>
        <v>59.61</v>
        <stp/>
        <stp>OPEN</stp>
        <stp>EXPD</stp>
        <tr r="K174" s="1"/>
      </tp>
      <tp>
        <v>121.84</v>
        <stp/>
        <stp>OPEN</stp>
        <stp>EXPE</stp>
        <tr r="K175" s="1"/>
      </tp>
      <tp>
        <v>40.479999999999997</v>
        <stp/>
        <stp>Mark</stp>
        <stp>BEN</stp>
        <tr r="P62" s="1"/>
      </tp>
      <tp>
        <v>220.31</v>
        <stp/>
        <stp>Last</stp>
        <stp>BDX</stp>
        <tr r="B60" s="1"/>
      </tp>
      <tp>
        <v>220.31</v>
        <stp/>
        <stp>Mark</stp>
        <stp>BDX</stp>
        <tr r="P60" s="1"/>
      </tp>
      <tp>
        <v>40.479999999999997</v>
        <stp/>
        <stp>Last</stp>
        <stp>BEN</stp>
        <tr r="B62" s="1"/>
      </tp>
      <tp>
        <v>0</v>
        <stp/>
        <stp>52LOW</stp>
        <stp>PLL</stp>
        <tr r="O370" s="1"/>
      </tp>
      <tp>
        <v>46.33</v>
        <stp/>
        <stp>52LOW</stp>
        <stp>PLD</stp>
        <tr r="O369" s="1"/>
      </tp>
      <tp>
        <v>28.17</v>
        <stp/>
        <stp>OPEN</stp>
        <stp>SYMC</stp>
        <tr r="K431" s="1"/>
      </tp>
      <tp>
        <v>36.159999999999997</v>
        <stp/>
        <stp>Last</stp>
        <stp>CMCSA</stp>
        <tr r="B102" s="1"/>
      </tp>
      <tp>
        <v>152.9</v>
        <stp/>
        <stp>OPEN</stp>
        <stp>WYNN</stp>
        <tr r="K491" s="1"/>
      </tp>
      <tp>
        <v>55.76</v>
        <stp/>
        <stp>52LOW</stp>
        <stp>PNR</stp>
        <tr r="O373" s="1"/>
      </tp>
      <tp>
        <v>72.61</v>
        <stp/>
        <stp>52LOW</stp>
        <stp>PNW</stp>
        <tr r="O374" s="1"/>
      </tp>
      <tp>
        <v>106.97</v>
        <stp/>
        <stp>52LOW</stp>
        <stp>PNC</stp>
        <tr r="O372" s="1"/>
      </tp>
      <tp>
        <v>21.12</v>
        <stp/>
        <stp>52LOW</stp>
        <stp>POM</stp>
        <tr r="O375" s="1"/>
      </tp>
      <tp>
        <v>18.18</v>
        <stp/>
        <stp>52LOW</stp>
        <stp>PHM</stp>
        <tr r="O367" s="1"/>
      </tp>
      <tp>
        <v>49.715000000000003</v>
        <stp/>
        <stp>52LOW</stp>
        <stp>PKI</stp>
        <tr r="O368" s="1"/>
      </tp>
      <tp>
        <v>69.010000000000005</v>
        <stp/>
        <stp>Mark</stp>
        <stp>CSC</stp>
        <tr r="P118" s="1"/>
      </tp>
      <tp>
        <v>49.92</v>
        <stp/>
        <stp>Mark</stp>
        <stp>CSX</stp>
        <tr r="P120" s="1"/>
      </tp>
      <tp>
        <v>107.58</v>
        <stp/>
        <stp>Last</stp>
        <stp>CRM</stp>
        <tr r="B117" s="1"/>
      </tp>
      <tp>
        <v>107.6</v>
        <stp/>
        <stp>Mark</stp>
        <stp>CRM</stp>
        <tr r="P117" s="1"/>
      </tp>
      <tp>
        <v>98.5</v>
        <stp/>
        <stp>52LOW</stp>
        <stp>PEP</stp>
        <tr r="O360" s="1"/>
      </tp>
      <tp>
        <v>49.92</v>
        <stp/>
        <stp>Last</stp>
        <stp>CSX</stp>
        <tr r="B120" s="1"/>
      </tp>
      <tp>
        <v>69.010000000000005</v>
        <stp/>
        <stp>Last</stp>
        <stp>CSC</stp>
        <tr r="B118" s="1"/>
      </tp>
      <tp>
        <v>40.11</v>
        <stp/>
        <stp>52LOW</stp>
        <stp>PEG</stp>
        <tr r="O359" s="1"/>
      </tp>
      <tp>
        <v>49.72</v>
        <stp/>
        <stp>Last</stp>
        <stp>CPB</stp>
        <tr r="B116" s="1"/>
      </tp>
      <tp>
        <v>30.51</v>
        <stp/>
        <stp>52LOW</stp>
        <stp>PFE</stp>
        <tr r="O362" s="1"/>
      </tp>
      <tp>
        <v>56.12</v>
        <stp/>
        <stp>52LOW</stp>
        <stp>PFG</stp>
        <tr r="O363" s="1"/>
      </tp>
      <tp>
        <v>32.409999999999997</v>
        <stp/>
        <stp>52LOW</stp>
        <stp>PGR</stp>
        <tr r="O365" s="1"/>
      </tp>
      <tp>
        <v>49.71</v>
        <stp/>
        <stp>Mark</stp>
        <stp>CPB</stp>
        <tr r="P116" s="1"/>
      </tp>
      <tp>
        <v>70.680000000000007</v>
        <stp/>
        <stp>Last</stp>
        <stp>CVS</stp>
        <tr r="B126" s="1"/>
      </tp>
      <tp>
        <v>114.71</v>
        <stp/>
        <stp>Last</stp>
        <stp>CVX</stp>
        <tr r="B127" s="1"/>
      </tp>
      <tp>
        <v>0</v>
        <stp/>
        <stp>Last</stp>
        <stp>CVC</stp>
        <tr r="B125" s="1"/>
      </tp>
      <tp>
        <v>34.869999999999997</v>
        <stp/>
        <stp>Mark</stp>
        <stp>CVC</stp>
        <tr r="P125" s="1"/>
      </tp>
      <tp>
        <v>114.71</v>
        <stp/>
        <stp>Mark</stp>
        <stp>CVX</stp>
        <tr r="P127" s="1"/>
      </tp>
      <tp>
        <v>70.680000000000007</v>
        <stp/>
        <stp>Mark</stp>
        <stp>CVS</stp>
        <tr r="P126" s="1"/>
      </tp>
      <tp>
        <v>9.5</v>
        <stp/>
        <stp>52LOW</stp>
        <stp>PBI</stp>
        <tr r="O352" s="1"/>
      </tp>
      <tp>
        <v>14.8</v>
        <stp/>
        <stp>Last</stp>
        <stp>CTL</stp>
        <tr r="B122" s="1"/>
      </tp>
      <tp>
        <v>14.8</v>
        <stp/>
        <stp>Mark</stp>
        <stp>CTL</stp>
        <tr r="P122" s="1"/>
      </tp>
      <tp>
        <v>0</v>
        <stp/>
        <stp>52LOW</stp>
        <stp>PCP</stp>
        <tr r="O357" s="1"/>
      </tp>
      <tp>
        <v>0</v>
        <stp/>
        <stp>52LOW</stp>
        <stp>PCL</stp>
        <tr r="O355" s="1"/>
      </tp>
      <tp>
        <v>49.83</v>
        <stp/>
        <stp>52LOW</stp>
        <stp>PCG</stp>
        <tr r="O354" s="1"/>
      </tp>
      <tp>
        <v>4.0199999999999996</v>
        <stp/>
        <stp>Last</stp>
        <stp>CHK</stp>
        <tr r="B94" s="1"/>
      </tp>
      <tp>
        <v>4.01</v>
        <stp/>
        <stp>Mark</stp>
        <stp>CHK</stp>
        <tr r="P94" s="1"/>
      </tp>
      <tp>
        <v>39.9</v>
        <stp/>
        <stp>Mark</stp>
        <stp>COH</stp>
        <tr r="P111" s="1"/>
      </tp>
      <tp>
        <v>132.27000000000001</v>
        <stp/>
        <stp>Mark</stp>
        <stp>COL</stp>
        <tr r="P112" s="1"/>
      </tp>
      <tp>
        <v>29</v>
        <stp/>
        <stp>Last</stp>
        <stp>CNP</stp>
        <tr r="B107" s="1"/>
      </tp>
      <tp>
        <v>16.8</v>
        <stp/>
        <stp>Last</stp>
        <stp>CNX</stp>
        <tr r="B108" s="1"/>
      </tp>
      <tp>
        <v>29.39</v>
        <stp/>
        <stp>Mark</stp>
        <stp>COG</stp>
        <tr r="P110" s="1"/>
      </tp>
      <tp>
        <v>87.83</v>
        <stp/>
        <stp>Mark</stp>
        <stp>COF</stp>
        <tr r="P109" s="1"/>
      </tp>
      <tp>
        <v>50.13</v>
        <stp/>
        <stp>Mark</stp>
        <stp>COP</stp>
        <tr r="P113" s="1"/>
      </tp>
      <tp>
        <v>125.46</v>
        <stp/>
        <stp>52LOW</stp>
        <stp>PXD</stp>
        <tr r="O385" s="1"/>
      </tp>
      <tp t="s">
        <v>N/A</v>
        <stp/>
        <stp>Mark</stp>
        <stp>COV</stp>
        <tr r="P115" s="1"/>
      </tp>
      <tp t="s">
        <v>N/A</v>
        <stp/>
        <stp>Last</stp>
        <stp>COV</stp>
        <tr r="B115" s="1"/>
      </tp>
      <tp>
        <v>50.13</v>
        <stp/>
        <stp>Last</stp>
        <stp>COP</stp>
        <tr r="B113" s="1"/>
      </tp>
      <tp>
        <v>87.83</v>
        <stp/>
        <stp>Last</stp>
        <stp>COF</stp>
        <tr r="B109" s="1"/>
      </tp>
      <tp>
        <v>29.39</v>
        <stp/>
        <stp>Last</stp>
        <stp>COG</stp>
        <tr r="B110" s="1"/>
      </tp>
      <tp>
        <v>16.8</v>
        <stp/>
        <stp>Mark</stp>
        <stp>CNX</stp>
        <tr r="P108" s="1"/>
      </tp>
      <tp>
        <v>29</v>
        <stp/>
        <stp>Mark</stp>
        <stp>CNP</stp>
        <tr r="P107" s="1"/>
      </tp>
      <tp>
        <v>132.27000000000001</v>
        <stp/>
        <stp>Last</stp>
        <stp>COL</stp>
        <tr r="B112" s="1"/>
      </tp>
      <tp>
        <v>39.9</v>
        <stp/>
        <stp>Last</stp>
        <stp>COH</stp>
        <tr r="B111" s="1"/>
      </tp>
      <tp>
        <v>159.41</v>
        <stp/>
        <stp>Mark</stp>
        <stp>CMI</stp>
        <tr r="P105" s="1"/>
      </tp>
      <tp>
        <v>79.13</v>
        <stp/>
        <stp>Mark</stp>
        <stp>CMA</stp>
        <tr r="P101" s="1"/>
      </tp>
      <tp>
        <v>139.49</v>
        <stp/>
        <stp>Mark</stp>
        <stp>CME</stp>
        <tr r="P103" s="1"/>
      </tp>
      <tp>
        <v>133.51</v>
        <stp/>
        <stp>Last</stp>
        <stp>CLX</stp>
        <tr r="B100" s="1"/>
      </tp>
      <tp>
        <v>289.85000000000002</v>
        <stp/>
        <stp>Mark</stp>
        <stp>CMG</stp>
        <tr r="P104" s="1"/>
      </tp>
      <tp>
        <v>6.13</v>
        <stp/>
        <stp>Last</stp>
        <stp>CLF</stp>
        <tr r="B99" s="1"/>
      </tp>
      <tp>
        <v>49.59</v>
        <stp/>
        <stp>Mark</stp>
        <stp>CMS</stp>
        <tr r="P106" s="1"/>
      </tp>
      <tp>
        <v>49.59</v>
        <stp/>
        <stp>Last</stp>
        <stp>CMS</stp>
        <tr r="B106" s="1"/>
      </tp>
      <tp>
        <v>6.13</v>
        <stp/>
        <stp>Mark</stp>
        <stp>CLF</stp>
        <tr r="P99" s="1"/>
      </tp>
      <tp>
        <v>289.83999999999997</v>
        <stp/>
        <stp>Last</stp>
        <stp>CMG</stp>
        <tr r="B104" s="1"/>
      </tp>
      <tp>
        <v>133.51</v>
        <stp/>
        <stp>Mark</stp>
        <stp>CLX</stp>
        <tr r="P100" s="1"/>
      </tp>
      <tp>
        <v>139.49</v>
        <stp/>
        <stp>Last</stp>
        <stp>CME</stp>
        <tr r="B103" s="1"/>
      </tp>
      <tp>
        <v>79.13</v>
        <stp/>
        <stp>Last</stp>
        <stp>CMA</stp>
        <tr r="B101" s="1"/>
      </tp>
      <tp>
        <v>159.41</v>
        <stp/>
        <stp>Last</stp>
        <stp>CMI</stp>
        <tr r="B105" s="1"/>
      </tp>
      <tp>
        <v>110.03</v>
        <stp/>
        <stp>Mark</stp>
        <stp>CCI</stp>
        <tr r="P88" s="1"/>
      </tp>
      <tp>
        <v>56.74</v>
        <stp/>
        <stp>Last</stp>
        <stp>CBS</stp>
        <tr r="B86" s="1"/>
      </tp>
      <tp>
        <v>66.22</v>
        <stp/>
        <stp>Mark</stp>
        <stp>CCL</stp>
        <tr r="P89" s="1"/>
      </tp>
      <tp>
        <v>38.18</v>
        <stp/>
        <stp>Mark</stp>
        <stp>CCE</stp>
        <tr r="P87" s="1"/>
      </tp>
      <tp>
        <v>42.78</v>
        <stp/>
        <stp>Last</stp>
        <stp>CBG</stp>
        <tr r="B85" s="1"/>
      </tp>
      <tp>
        <v>42.78</v>
        <stp/>
        <stp>Mark</stp>
        <stp>CBG</stp>
        <tr r="P85" s="1"/>
      </tp>
      <tp>
        <v>38.18</v>
        <stp/>
        <stp>Last</stp>
        <stp>CCE</stp>
        <tr r="B87" s="1"/>
      </tp>
      <tp>
        <v>66.22</v>
        <stp/>
        <stp>Last</stp>
        <stp>CCL</stp>
        <tr r="B89" s="1"/>
      </tp>
      <tp>
        <v>56.74</v>
        <stp/>
        <stp>Mark</stp>
        <stp>CBS</stp>
        <tr r="P86" s="1"/>
      </tp>
      <tp>
        <v>110.02</v>
        <stp/>
        <stp>Last</stp>
        <stp>CCI</stp>
        <tr r="B88" s="1"/>
      </tp>
      <tp>
        <v>57.51</v>
        <stp/>
        <stp>Mark</stp>
        <stp>CAH</stp>
        <tr r="P81" s="1"/>
      </tp>
      <tp>
        <v>65.849999999999994</v>
        <stp/>
        <stp>Mark</stp>
        <stp>CAM</stp>
        <tr r="P82" s="1"/>
      </tp>
      <tp>
        <v>35.71</v>
        <stp/>
        <stp>Mark</stp>
        <stp>CAG</stp>
        <tr r="P80" s="1"/>
      </tp>
      <tp>
        <v>84.53</v>
        <stp/>
        <stp>52LOW</stp>
        <stp>PVH</stp>
        <tr r="O382" s="1"/>
      </tp>
      <tp>
        <v>136.13</v>
        <stp/>
        <stp>Mark</stp>
        <stp>CAT</stp>
        <tr r="P83" s="1"/>
      </tp>
      <tp>
        <v>136.13</v>
        <stp/>
        <stp>Last</stp>
        <stp>CAT</stp>
        <tr r="B83" s="1"/>
      </tp>
      <tp>
        <v>30.23</v>
        <stp/>
        <stp>52LOW</stp>
        <stp>PWR</stp>
        <tr r="O383" s="1"/>
      </tp>
      <tp>
        <v>35.71</v>
        <stp/>
        <stp>Last</stp>
        <stp>CAG</stp>
        <tr r="B80" s="1"/>
      </tp>
      <tp>
        <v>0</v>
        <stp/>
        <stp>Last</stp>
        <stp>CAM</stp>
        <tr r="B82" s="1"/>
      </tp>
      <tp>
        <v>57.51</v>
        <stp/>
        <stp>Last</stp>
        <stp>CAH</stp>
        <tr r="B81" s="1"/>
      </tp>
      <tp>
        <v>32.67</v>
        <stp/>
        <stp>52LOW</stp>
        <stp>PPL</stp>
        <tr r="O377" s="1"/>
      </tp>
      <tp t="s">
        <v>N/A</v>
        <stp/>
        <stp>Last</stp>
        <stp>CFN</stp>
        <tr r="B93" s="1"/>
      </tp>
      <tp>
        <v>93.8001</v>
        <stp/>
        <stp>52LOW</stp>
        <stp>PPG</stp>
        <tr r="O376" s="1"/>
      </tp>
      <tp t="s">
        <v>N/A</v>
        <stp/>
        <stp>Mark</stp>
        <stp>CFN</stp>
        <tr r="P93" s="1"/>
      </tp>
      <tp>
        <v>96.71</v>
        <stp/>
        <stp>52LOW</stp>
        <stp>PRU</stp>
        <tr r="O379" s="1"/>
      </tp>
      <tp>
        <v>75.135000000000005</v>
        <stp/>
        <stp>52LOW</stp>
        <stp>PSX</stp>
        <tr r="O381" s="1"/>
      </tp>
      <tp>
        <v>192.15</v>
        <stp/>
        <stp>52LOW</stp>
        <stp>PSA</stp>
        <tr r="O380" s="1"/>
      </tp>
      <tp t="s">
        <v>N/A</v>
        <stp/>
        <stp>LOW</stp>
        <stp>BRK-B</stp>
        <tr r="M73" s="1"/>
      </tp>
      <tp t="s">
        <v>instrument=CMCSA</v>
        <stp/>
        <stp>QUOTE_TREND</stp>
        <stp>CMCSA</stp>
        <tr r="D102" s="1"/>
      </tp>
      <tp>
        <v>9.2899999999999991</v>
        <stp/>
        <stp>52LOW</stp>
        <stp>SLM</stp>
        <tr r="O413" s="1"/>
      </tp>
      <tp>
        <v>61.02</v>
        <stp/>
        <stp>52LOW</stp>
        <stp>SLB</stp>
        <tr r="O412" s="1"/>
      </tp>
      <tp>
        <v>64.87</v>
        <stp/>
        <stp>52LOW</stp>
        <stp>SNI</stp>
        <tr r="O416" s="1"/>
      </tp>
      <tp>
        <v>140.83000000000001</v>
        <stp/>
        <stp>52LOW</stp>
        <stp>SNA</stp>
        <tr r="O414" s="1"/>
      </tp>
      <tp>
        <v>260</v>
        <stp/>
        <stp>52LOW</stp>
        <stp>SHW</stp>
        <tr r="O409" s="1"/>
      </tp>
      <tp>
        <v>99.564999999999998</v>
        <stp/>
        <stp>52LOW</stp>
        <stp>SJM</stp>
        <tr r="O411" s="1"/>
      </tp>
      <tp>
        <v>41.22</v>
        <stp/>
        <stp>52LOW</stp>
        <stp>SEE</stp>
        <tr r="O408" s="1"/>
      </tp>
      <tp t="s">
        <v>N/A</v>
        <stp/>
        <stp>52LOW</stp>
        <stp>SAI</stp>
        <tr r="O403" s="1"/>
      </tp>
      <tp>
        <v>41.15</v>
        <stp/>
        <stp>52LOW</stp>
        <stp>SCG</stp>
        <tr r="O405" s="1"/>
      </tp>
      <tp>
        <v>48.85</v>
        <stp/>
        <stp>52LOW</stp>
        <stp>SYY</stp>
        <tr r="O432" s="1"/>
      </tp>
      <tp>
        <v>108.29</v>
        <stp/>
        <stp>52LOW</stp>
        <stp>SYK</stp>
        <tr r="O430" s="1"/>
      </tp>
      <tp>
        <v>30.6</v>
        <stp/>
        <stp>52LOW</stp>
        <stp>STX</stp>
        <tr r="O425" s="1"/>
      </tp>
      <tp>
        <v>144</v>
        <stp/>
        <stp>52LOW</stp>
        <stp>STZ</stp>
        <tr r="O426" s="1"/>
      </tp>
      <tp>
        <v>74.450100000000006</v>
        <stp/>
        <stp>52LOW</stp>
        <stp>STT</stp>
        <tr r="O424" s="1"/>
      </tp>
      <tp>
        <v>50.66</v>
        <stp/>
        <stp>52LOW</stp>
        <stp>STI</stp>
        <tr r="O422" s="1"/>
      </tp>
      <tp>
        <v>48.83</v>
        <stp/>
        <stp>52LOW</stp>
        <stp>STJ</stp>
        <tr r="O423" s="1"/>
      </tp>
      <tp>
        <v>124.2</v>
        <stp/>
        <stp>HIGH</stp>
        <stp>EXPE</stp>
        <tr r="L175" s="1"/>
      </tp>
      <tp>
        <v>59.83</v>
        <stp/>
        <stp>HIGH</stp>
        <stp>EXPD</stp>
        <tr r="L174" s="1"/>
      </tp>
      <tp>
        <v>100.03</v>
        <stp/>
        <stp>52LOW</stp>
        <stp>SWY</stp>
        <tr r="O429" s="1"/>
      </tp>
      <tp>
        <v>114.26819999999999</v>
        <stp/>
        <stp>52LOW</stp>
        <stp>SWK</stp>
        <tr r="O427" s="1"/>
      </tp>
      <tp>
        <v>4.9000000000000004</v>
        <stp/>
        <stp>52LOW</stp>
        <stp>SWN</stp>
        <tr r="O428" s="1"/>
      </tp>
      <tp>
        <v>150.15</v>
        <stp/>
        <stp>52LOW</stp>
        <stp>SPG</stp>
        <tr r="O418" s="1"/>
      </tp>
      <tp>
        <v>96.53</v>
        <stp/>
        <stp>52LOW</stp>
        <stp>SRE</stp>
        <tr r="O421" s="1"/>
      </tp>
      <tp>
        <v>629.42999999999995</v>
        <stp/>
        <stp>Last</stp>
        <stp>AZO</stp>
        <tr r="B52" s="1"/>
      </tp>
      <tp>
        <v>629.42999999999995</v>
        <stp/>
        <stp>Mark</stp>
        <stp>AZO</stp>
        <tr r="P52" s="1"/>
      </tp>
      <tp>
        <v>93.69</v>
        <stp/>
        <stp>Last</stp>
        <stp>AXP</stp>
        <tr r="B51" s="1"/>
      </tp>
      <tp>
        <v>179.96</v>
        <stp/>
        <stp>52LOW</stp>
        <stp>ROP</stp>
        <tr r="O397" s="1"/>
      </tp>
      <tp>
        <v>129.65950000000001</v>
        <stp/>
        <stp>52LOW</stp>
        <stp>ROK</stp>
        <tr r="O396" s="1"/>
      </tp>
      <tp>
        <v>93.69</v>
        <stp/>
        <stp>Mark</stp>
        <stp>AXP</stp>
        <tr r="P51" s="1"/>
      </tp>
      <tp>
        <v>153.69</v>
        <stp/>
        <stp>HIGH</stp>
        <stp>WYNN</stp>
        <tr r="L491" s="1"/>
      </tp>
      <tp>
        <v>68.540000000000006</v>
        <stp/>
        <stp>52LOW</stp>
        <stp>RHT</stp>
        <tr r="O394" s="1"/>
      </tp>
      <tp>
        <v>42.92</v>
        <stp/>
        <stp>52LOW</stp>
        <stp>RHI</stp>
        <tr r="O393" s="1"/>
      </tp>
      <tp>
        <v>28.31</v>
        <stp/>
        <stp>HIGH</stp>
        <stp>SYMC</stp>
        <tr r="L431" s="1"/>
      </tp>
      <tp>
        <v>0</v>
        <stp/>
        <stp>Last</stp>
        <stp>ARG</stp>
        <tr r="B46" s="1"/>
      </tp>
      <tp>
        <v>9.02</v>
        <stp/>
        <stp>52LOW</stp>
        <stp>RDC</stp>
        <tr r="O390" s="1"/>
      </tp>
      <tp>
        <v>142.96</v>
        <stp/>
        <stp>Mark</stp>
        <stp>ARG</stp>
        <tr r="P46" s="1"/>
      </tp>
      <tp>
        <v>161.58000000000001</v>
        <stp/>
        <stp>Last</stp>
        <stp>APD</stp>
        <tr r="B43" s="1"/>
      </tp>
      <tp>
        <v>48.15</v>
        <stp/>
        <stp>Last</stp>
        <stp>APC</stp>
        <tr r="B42" s="1"/>
      </tp>
      <tp>
        <v>41.18</v>
        <stp/>
        <stp>Last</stp>
        <stp>APA</stp>
        <tr r="B41" s="1"/>
      </tp>
      <tp>
        <v>89.52</v>
        <stp/>
        <stp>Last</stp>
        <stp>APH</stp>
        <tr r="B44" s="1"/>
      </tp>
      <tp>
        <v>89.52</v>
        <stp/>
        <stp>Mark</stp>
        <stp>APH</stp>
        <tr r="P44" s="1"/>
      </tp>
      <tp>
        <v>41.18</v>
        <stp/>
        <stp>Mark</stp>
        <stp>APA</stp>
        <tr r="P41" s="1"/>
      </tp>
      <tp>
        <v>48.15</v>
        <stp/>
        <stp>Mark</stp>
        <stp>APC</stp>
        <tr r="P42" s="1"/>
      </tp>
      <tp>
        <v>161.58000000000001</v>
        <stp/>
        <stp>Mark</stp>
        <stp>APD</stp>
        <tr r="P43" s="1"/>
      </tp>
      <tp>
        <v>1.94</v>
        <stp/>
        <stp>Last</stp>
        <stp>AVP</stp>
        <tr r="B49" s="1"/>
      </tp>
      <tp>
        <v>108.29</v>
        <stp/>
        <stp>Last</stp>
        <stp>AVY</stp>
        <tr r="B50" s="1"/>
      </tp>
      <tp>
        <v>184.37</v>
        <stp/>
        <stp>Last</stp>
        <stp>AVB</stp>
        <tr r="B48" s="1"/>
      </tp>
      <tp>
        <v>184.37</v>
        <stp/>
        <stp>Mark</stp>
        <stp>AVB</stp>
        <tr r="P48" s="1"/>
      </tp>
      <tp>
        <v>43.38</v>
        <stp/>
        <stp>52LOW</stp>
        <stp>RAI</stp>
        <tr r="O389" s="1"/>
      </tp>
      <tp>
        <v>108.29</v>
        <stp/>
        <stp>Mark</stp>
        <stp>AVY</stp>
        <tr r="P50" s="1"/>
      </tp>
      <tp>
        <v>1.93</v>
        <stp/>
        <stp>Mark</stp>
        <stp>AVP</stp>
        <tr r="P49" s="1"/>
      </tp>
      <tp>
        <v>21.93</v>
        <stp/>
        <stp>Last</stp>
        <stp>ATI</stp>
        <tr r="B47" s="1"/>
      </tp>
      <tp>
        <v>21.93</v>
        <stp/>
        <stp>Mark</stp>
        <stp>ATI</stp>
        <tr r="P47" s="1"/>
      </tp>
      <tp>
        <v>60.02</v>
        <stp/>
        <stp>Mark</stp>
        <stp>AIG</stp>
        <tr r="P25" s="1"/>
      </tp>
      <tp>
        <v>98.62</v>
        <stp/>
        <stp>Mark</stp>
        <stp>AIZ</stp>
        <tr r="P27" s="1"/>
      </tp>
      <tp>
        <v>44.35</v>
        <stp/>
        <stp>Mark</stp>
        <stp>AIV</stp>
        <tr r="P26" s="1"/>
      </tp>
      <tp>
        <v>44.19</v>
        <stp/>
        <stp>Last</stp>
        <stp>AIV</stp>
        <tr r="B26" s="1"/>
      </tp>
      <tp>
        <v>98.62</v>
        <stp/>
        <stp>Last</stp>
        <stp>AIZ</stp>
        <tr r="B27" s="1"/>
      </tp>
      <tp>
        <v>60.06</v>
        <stp/>
        <stp>Last</stp>
        <stp>AIG</stp>
        <tr r="B25" s="1"/>
      </tp>
      <tp>
        <v>141.19</v>
        <stp/>
        <stp>Mark</stp>
        <stp>AON</stp>
        <tr r="P40" s="1"/>
      </tp>
      <tp>
        <v>15.55</v>
        <stp/>
        <stp>Last</stp>
        <stp>ANF</stp>
        <tr r="B39" s="1"/>
      </tp>
      <tp>
        <v>15.55</v>
        <stp/>
        <stp>Mark</stp>
        <stp>ANF</stp>
        <tr r="P39" s="1"/>
      </tp>
      <tp>
        <v>141.18</v>
        <stp/>
        <stp>Last</stp>
        <stp>AON</stp>
        <tr r="B40" s="1"/>
      </tp>
      <tp>
        <v>11.36</v>
        <stp/>
        <stp>Mark</stp>
        <stp>AMD</stp>
        <tr r="P33" s="1"/>
      </tp>
      <tp>
        <v>158.28</v>
        <stp/>
        <stp>Mark</stp>
        <stp>AMP</stp>
        <tr r="P35" s="1"/>
      </tp>
      <tp>
        <v>100.17</v>
        <stp/>
        <stp>Last</stp>
        <stp>ALL</stp>
        <tr r="B29" s="1"/>
      </tp>
      <tp>
        <v>145.87</v>
        <stp/>
        <stp>Mark</stp>
        <stp>AMT</stp>
        <tr r="P36" s="1"/>
      </tp>
      <tp>
        <v>145.87</v>
        <stp/>
        <stp>Last</stp>
        <stp>AMT</stp>
        <tr r="B36" s="1"/>
      </tp>
      <tp>
        <v>100.17</v>
        <stp/>
        <stp>Mark</stp>
        <stp>ALL</stp>
        <tr r="P29" s="1"/>
      </tp>
      <tp>
        <v>158.28</v>
        <stp/>
        <stp>Last</stp>
        <stp>AMP</stp>
        <tr r="B35" s="1"/>
      </tp>
      <tp>
        <v>11.38</v>
        <stp/>
        <stp>Last</stp>
        <stp>AMD</stp>
        <tr r="B33" s="1"/>
      </tp>
      <tp>
        <v>55.56</v>
        <stp/>
        <stp>Last</stp>
        <stp>ABT</stp>
        <tr r="B9" s="1"/>
      </tp>
      <tp>
        <v>145.44999999999999</v>
        <stp/>
        <stp>Mark</stp>
        <stp>ACN</stp>
        <tr r="P11" s="1"/>
      </tp>
      <tp>
        <v>111.35</v>
        <stp/>
        <stp>Mark</stp>
        <stp>ACE</stp>
        <tr r="P10" s="1"/>
      </tp>
      <tp>
        <v>78.84</v>
        <stp/>
        <stp>Last</stp>
        <stp>ABC</stp>
        <tr r="B8" s="1"/>
      </tp>
      <tp>
        <v>137.69999999999999</v>
        <stp/>
        <stp>52LOW</stp>
        <stp>RTN</stp>
        <tr r="O401" s="1"/>
      </tp>
      <tp>
        <v>298</v>
        <stp/>
        <stp>Mark</stp>
        <stp>ACT</stp>
        <tr r="P12" s="1"/>
      </tp>
      <tp>
        <v>0</v>
        <stp/>
        <stp>Last</stp>
        <stp>ACT</stp>
        <tr r="B12" s="1"/>
      </tp>
      <tp>
        <v>78.84</v>
        <stp/>
        <stp>Mark</stp>
        <stp>ABC</stp>
        <tr r="P8" s="1"/>
      </tp>
      <tp>
        <v>0</v>
        <stp/>
        <stp>Last</stp>
        <stp>ACE</stp>
        <tr r="B10" s="1"/>
      </tp>
      <tp>
        <v>145.44999999999999</v>
        <stp/>
        <stp>Last</stp>
        <stp>ACN</stp>
        <tr r="B11" s="1"/>
      </tp>
      <tp>
        <v>55.56</v>
        <stp/>
        <stp>Mark</stp>
        <stp>ABT</stp>
        <tr r="P9" s="1"/>
      </tp>
      <tp>
        <v>174.88</v>
        <stp/>
        <stp>Mark</stp>
        <stp>AGN</stp>
        <tr r="P24" s="1"/>
      </tp>
      <tp>
        <v>83.85</v>
        <stp/>
        <stp>Last</stp>
        <stp>AFL</stp>
        <tr r="B23" s="1"/>
      </tp>
      <tp>
        <v>83.85</v>
        <stp/>
        <stp>Mark</stp>
        <stp>AFL</stp>
        <tr r="P23" s="1"/>
      </tp>
      <tp>
        <v>174.88</v>
        <stp/>
        <stp>Last</stp>
        <stp>AGN</stp>
        <tr r="B24" s="1"/>
      </tp>
      <tp>
        <v>0</v>
        <stp/>
        <stp>Last</stp>
        <stp>ADT</stp>
        <tr r="B18" s="1"/>
      </tp>
      <tp>
        <v>111.06</v>
        <stp/>
        <stp>Last</stp>
        <stp>ADP</stp>
        <tr r="B16" s="1"/>
      </tp>
      <tp>
        <v>63.3</v>
        <stp/>
        <stp>Mark</stp>
        <stp>AEE</stp>
        <tr r="P19" s="1"/>
      </tp>
      <tp>
        <v>76.38</v>
        <stp/>
        <stp>Mark</stp>
        <stp>AEP</stp>
        <tr r="P20" s="1"/>
      </tp>
      <tp>
        <v>15.994999999999999</v>
        <stp/>
        <stp>52LOW</stp>
        <stp>RRC</stp>
        <tr r="O399" s="1"/>
      </tp>
      <tp>
        <v>10.61</v>
        <stp/>
        <stp>Mark</stp>
        <stp>AES</stp>
        <tr r="P21" s="1"/>
      </tp>
      <tp>
        <v>39.42</v>
        <stp/>
        <stp>Last</stp>
        <stp>ADM</stp>
        <tr r="B15" s="1"/>
      </tp>
      <tp>
        <v>173.2</v>
        <stp/>
        <stp>Mark</stp>
        <stp>AET</stp>
        <tr r="P22" s="1"/>
      </tp>
      <tp>
        <v>90.42</v>
        <stp/>
        <stp>Last</stp>
        <stp>ADI</stp>
        <tr r="B14" s="1"/>
      </tp>
      <tp>
        <v>91.2</v>
        <stp/>
        <stp>Mark</stp>
        <stp>ADI</stp>
        <tr r="P14" s="1"/>
      </tp>
      <tp>
        <v>173.2</v>
        <stp/>
        <stp>Last</stp>
        <stp>AET</stp>
        <tr r="B22" s="1"/>
      </tp>
      <tp>
        <v>39.42</v>
        <stp/>
        <stp>Mark</stp>
        <stp>ADM</stp>
        <tr r="P15" s="1"/>
      </tp>
      <tp>
        <v>10.61</v>
        <stp/>
        <stp>Last</stp>
        <stp>AES</stp>
        <tr r="B21" s="1"/>
      </tp>
      <tp>
        <v>76.38</v>
        <stp/>
        <stp>Last</stp>
        <stp>AEP</stp>
        <tr r="B20" s="1"/>
      </tp>
      <tp>
        <v>63.3</v>
        <stp/>
        <stp>Last</stp>
        <stp>AEE</stp>
        <tr r="B19" s="1"/>
      </tp>
      <tp>
        <v>111.06</v>
        <stp/>
        <stp>Mark</stp>
        <stp>ADP</stp>
        <tr r="P16" s="1"/>
      </tp>
      <tp>
        <v>41.96</v>
        <stp/>
        <stp>Mark</stp>
        <stp>ADT</stp>
        <tr r="P18" s="1"/>
      </tp>
      <tp>
        <v>54.37</v>
        <stp/>
        <stp>52LOW</stp>
        <stp>RSG</stp>
        <tr r="O400" s="1"/>
      </tp>
      <tp t="s">
        <v>N/A</v>
        <stp/>
        <stp>Mark</stp>
        <stp>NYX</stp>
        <tr r="P343" s="1"/>
      </tp>
      <tp t="s">
        <v>N/A</v>
        <stp/>
        <stp>Last</stp>
        <stp>NYX</stp>
        <tr r="B343" s="1"/>
      </tp>
      <tp>
        <v>127.54</v>
        <stp/>
        <stp>Mark</stp>
        <stp>NSC</stp>
        <tr r="P335" s="1"/>
      </tp>
      <tp>
        <v>29.49</v>
        <stp/>
        <stp>Last</stp>
        <stp>NRG</stp>
        <tr r="B334" s="1"/>
      </tp>
      <tp>
        <v>29.49</v>
        <stp/>
        <stp>Mark</stp>
        <stp>NRG</stp>
        <tr r="P334" s="1"/>
      </tp>
      <tp>
        <v>127.54</v>
        <stp/>
        <stp>Last</stp>
        <stp>NSC</stp>
        <tr r="B335" s="1"/>
      </tp>
      <tp>
        <v>43.76</v>
        <stp/>
        <stp>OPEN</stp>
        <stp>ETFC</stp>
        <tr r="K169" s="1"/>
      </tp>
      <tp>
        <v>28.56</v>
        <stp/>
        <stp>Mark</stp>
        <stp>NWL</stp>
        <tr r="P341" s="1"/>
      </tp>
      <tp>
        <v>53.03</v>
        <stp/>
        <stp>OPEN</stp>
        <stp>NTAP</stp>
        <tr r="K336" s="1"/>
      </tp>
      <tp>
        <v>149.78</v>
        <stp/>
        <stp>OPEN</stp>
        <stp>CTAS</stp>
        <tr r="K121" s="1"/>
      </tp>
      <tp>
        <v>28.56</v>
        <stp/>
        <stp>Last</stp>
        <stp>NWL</stp>
        <tr r="B341" s="1"/>
      </tp>
      <tp>
        <v>215.35</v>
        <stp/>
        <stp>HIGH</stp>
        <stp>NVDA</stp>
        <tr r="L340" s="1"/>
      </tp>
      <tp>
        <v>54.8</v>
        <stp/>
        <stp>Mark</stp>
        <stp>NUE</stp>
        <tr r="P339" s="1"/>
      </tp>
      <tp>
        <v>54.8</v>
        <stp/>
        <stp>Last</stp>
        <stp>NUE</stp>
        <tr r="B339" s="1"/>
      </tp>
      <tp>
        <v>59.16</v>
        <stp/>
        <stp>Mark</stp>
        <stp>NKE</stp>
        <tr r="P331" s="1"/>
      </tp>
      <tp>
        <v>59.19</v>
        <stp/>
        <stp>Last</stp>
        <stp>NKE</stp>
        <tr r="B331" s="1"/>
      </tp>
      <tp>
        <v>85.83</v>
        <stp/>
        <stp>OPEN</stp>
        <stp>CTXS</stp>
        <tr r="K124" s="1"/>
      </tp>
      <tp>
        <v>296.85000000000002</v>
        <stp/>
        <stp>Mark</stp>
        <stp>NOC</stp>
        <tr r="P332" s="1"/>
      </tp>
      <tp>
        <v>32.020000000000003</v>
        <stp/>
        <stp>Mark</stp>
        <stp>NOV</stp>
        <tr r="P333" s="1"/>
      </tp>
      <tp>
        <v>32.020000000000003</v>
        <stp/>
        <stp>Last</stp>
        <stp>NOV</stp>
        <tr r="B333" s="1"/>
      </tp>
      <tp>
        <v>296.85000000000002</v>
        <stp/>
        <stp>Last</stp>
        <stp>NOC</stp>
        <tr r="B332" s="1"/>
      </tp>
      <tp>
        <v>5.79</v>
        <stp/>
        <stp>Last</stp>
        <stp>NBR</stp>
        <tr r="B323" s="1"/>
      </tp>
      <tp>
        <v>25.96</v>
        <stp/>
        <stp>Last</stp>
        <stp>NBL</stp>
        <tr r="B322" s="1"/>
      </tp>
      <tp>
        <v>25.96</v>
        <stp/>
        <stp>Mark</stp>
        <stp>NBL</stp>
        <tr r="P322" s="1"/>
      </tp>
      <tp>
        <v>5.79</v>
        <stp/>
        <stp>Mark</stp>
        <stp>NBR</stp>
        <tr r="P323" s="1"/>
      </tp>
      <tp>
        <v>30.3</v>
        <stp/>
        <stp>Last</stp>
        <stp>NFX</stp>
        <tr r="B329" s="1"/>
      </tp>
      <tp>
        <v>30.3</v>
        <stp/>
        <stp>Mark</stp>
        <stp>NFX</stp>
        <tr r="P329" s="1"/>
      </tp>
      <tp>
        <v>93.27</v>
        <stp/>
        <stp>OPEN</stp>
        <stp>NTRS</stp>
        <tr r="K337" s="1"/>
      </tp>
      <tp>
        <v>36.21</v>
        <stp/>
        <stp>Mark</stp>
        <stp>NEM</stp>
        <tr r="P327" s="1"/>
      </tp>
      <tp>
        <v>156.04</v>
        <stp/>
        <stp>Mark</stp>
        <stp>NEE</stp>
        <tr r="P326" s="1"/>
      </tp>
      <tp>
        <v>75.069999999999993</v>
        <stp/>
        <stp>OPEN</stp>
        <stp>CTSH</stp>
        <tr r="K123" s="1"/>
      </tp>
      <tp>
        <v>156.04</v>
        <stp/>
        <stp>Last</stp>
        <stp>NEE</stp>
        <tr r="B326" s="1"/>
      </tp>
      <tp>
        <v>36.21</v>
        <stp/>
        <stp>Last</stp>
        <stp>NEM</stp>
        <tr r="B327" s="1"/>
      </tp>
      <tp>
        <v>68.400000000000006</v>
        <stp/>
        <stp>Last</stp>
        <stp>OXY</stp>
        <tr r="B349" s="1"/>
      </tp>
      <tp>
        <v>68.42</v>
        <stp/>
        <stp>Mark</stp>
        <stp>OXY</stp>
        <tr r="P349" s="1"/>
      </tp>
      <tp>
        <v>50.67</v>
        <stp/>
        <stp>Mark</stp>
        <stp>OKE</stp>
        <tr r="P345" s="1"/>
      </tp>
      <tp>
        <v>50.67</v>
        <stp/>
        <stp>Last</stp>
        <stp>OKE</stp>
        <tr r="B345" s="1"/>
      </tp>
      <tp>
        <v>69.44</v>
        <stp/>
        <stp>Mark</stp>
        <stp>OMC</stp>
        <tr r="P346" s="1"/>
      </tp>
      <tp>
        <v>69.44</v>
        <stp/>
        <stp>Last</stp>
        <stp>OMC</stp>
        <tr r="B346" s="1"/>
      </tp>
      <tp>
        <v>15.93</v>
        <stp/>
        <stp>HIGH</stp>
        <stp>NWSA</stp>
        <tr r="L342" s="1"/>
      </tp>
      <tp t="s">
        <v>N/A</v>
        <stp/>
        <stp>52HIGH</stp>
        <stp>SPLS</stp>
        <tr r="N419" s="1"/>
      </tp>
      <tp t="s">
        <v>N/A</v>
        <stp/>
        <stp>52HIGH</stp>
        <stp>APOL</stp>
        <tr r="N45" s="1"/>
      </tp>
      <tp>
        <v>103.9</v>
        <stp/>
        <stp>Mark</stp>
        <stp>LYB</stp>
        <tr r="P287" s="1"/>
      </tp>
      <tp>
        <v>103.9</v>
        <stp/>
        <stp>Last</stp>
        <stp>LYB</stp>
        <tr r="B287" s="1"/>
      </tp>
      <tp>
        <v>213.92</v>
        <stp/>
        <stp>OPEN</stp>
        <stp>NVDA</stp>
        <tr r="K340" s="1"/>
      </tp>
      <tp>
        <v>88.68</v>
        <stp/>
        <stp>Mark</stp>
        <stp>LSI</stp>
        <tr r="P283" s="1"/>
      </tp>
      <tp>
        <v>88.68</v>
        <stp/>
        <stp>Last</stp>
        <stp>LSI</stp>
        <tr r="B283" s="1"/>
      </tp>
      <tp>
        <v>150.08000000000001</v>
        <stp/>
        <stp>HIGH</stp>
        <stp>CTAS</stp>
        <tr r="L121" s="1"/>
      </tp>
      <tp>
        <v>54.72</v>
        <stp/>
        <stp>HIGH</stp>
        <stp>NTAP</stp>
        <tr r="L336" s="1"/>
      </tp>
      <tp>
        <v>44.314999999999998</v>
        <stp/>
        <stp>HIGH</stp>
        <stp>ETFC</stp>
        <tr r="L169" s="1"/>
      </tp>
      <tp>
        <v>25.13</v>
        <stp/>
        <stp>Mark</stp>
        <stp>LUK</stp>
        <tr r="P285" s="1"/>
      </tp>
      <tp t="s">
        <v>N/A</v>
        <stp/>
        <stp>Last</stp>
        <stp>LTD</stp>
        <tr r="B284" s="1"/>
      </tp>
      <tp>
        <v>54.71</v>
        <stp/>
        <stp>Mark</stp>
        <stp>LUV</stp>
        <tr r="P286" s="1"/>
      </tp>
      <tp>
        <v>54.71</v>
        <stp/>
        <stp>Last</stp>
        <stp>LUV</stp>
        <tr r="B286" s="1"/>
      </tp>
      <tp t="s">
        <v>N/A</v>
        <stp/>
        <stp>Mark</stp>
        <stp>LTD</stp>
        <tr r="P284" s="1"/>
      </tp>
      <tp>
        <v>25.13</v>
        <stp/>
        <stp>Last</stp>
        <stp>LUK</stp>
        <tr r="B285" s="1"/>
      </tp>
      <tp>
        <v>17.55</v>
        <stp/>
        <stp>Mark</stp>
        <stp>DISCA</stp>
        <tr r="P139" s="1"/>
      </tp>
      <tp>
        <v>87.49</v>
        <stp/>
        <stp>HIGH</stp>
        <stp>CTXS</stp>
        <tr r="L124" s="1"/>
      </tp>
      <tp>
        <v>74.28</v>
        <stp/>
        <stp>Last</stp>
        <stp>LNC</stp>
        <tr r="B279" s="1"/>
      </tp>
      <tp>
        <v>80.22</v>
        <stp/>
        <stp>Mark</stp>
        <stp>LOW</stp>
        <tr r="P281" s="1"/>
      </tp>
      <tp>
        <v>80.22</v>
        <stp/>
        <stp>Last</stp>
        <stp>LOW</stp>
        <tr r="B281" s="1"/>
      </tp>
      <tp>
        <v>74.28</v>
        <stp/>
        <stp>Mark</stp>
        <stp>LNC</stp>
        <tr r="P279" s="1"/>
      </tp>
      <tp>
        <v>82.89</v>
        <stp/>
        <stp>Last</stp>
        <stp>LLY</stp>
        <tr r="B276" s="1"/>
      </tp>
      <tp>
        <v>184.39</v>
        <stp/>
        <stp>Last</stp>
        <stp>LLL</stp>
        <tr r="B274" s="1"/>
      </tp>
      <tp>
        <v>309.7</v>
        <stp/>
        <stp>Mark</stp>
        <stp>LMT</stp>
        <tr r="P278" s="1"/>
      </tp>
      <tp>
        <v>309.7</v>
        <stp/>
        <stp>Last</stp>
        <stp>LMT</stp>
        <tr r="B278" s="1"/>
      </tp>
      <tp>
        <v>184.39</v>
        <stp/>
        <stp>Mark</stp>
        <stp>LLL</stp>
        <tr r="P274" s="1"/>
      </tp>
      <tp>
        <v>82.89</v>
        <stp/>
        <stp>Mark</stp>
        <stp>LLY</stp>
        <tr r="P276" s="1"/>
      </tp>
      <tp>
        <v>94.644999999999996</v>
        <stp/>
        <stp>HIGH</stp>
        <stp>NTRS</stp>
        <tr r="L337" s="1"/>
      </tp>
      <tp>
        <v>75.16</v>
        <stp/>
        <stp>HIGH</stp>
        <stp>CTSH</stp>
        <tr r="L123" s="1"/>
      </tp>
      <tp>
        <v>58.89</v>
        <stp/>
        <stp>Mark</stp>
        <stp>LEN</stp>
        <tr r="P271" s="1"/>
      </tp>
      <tp>
        <v>46.45</v>
        <stp/>
        <stp>Mark</stp>
        <stp>LEG</stp>
        <tr r="P270" s="1"/>
      </tp>
      <tp>
        <v>46.45</v>
        <stp/>
        <stp>Last</stp>
        <stp>LEG</stp>
        <tr r="B270" s="1"/>
      </tp>
      <tp>
        <v>58.89</v>
        <stp/>
        <stp>Last</stp>
        <stp>LEN</stp>
        <tr r="B271" s="1"/>
      </tp>
      <tp>
        <v>62.568600000000004</v>
        <stp/>
        <stp>52HIGH</stp>
        <stp>FSLR</stp>
        <tr r="N193" s="1"/>
      </tp>
      <tp>
        <v>86.2</v>
        <stp/>
        <stp>52HIGH</stp>
        <stp>MSFT</stp>
        <tr r="N315" s="1"/>
      </tp>
      <tp>
        <v>36.67</v>
        <stp/>
        <stp>52HIGH</stp>
        <stp>CSCO</stp>
        <tr r="N119" s="1"/>
      </tp>
      <tp>
        <v>394.9</v>
        <stp/>
        <stp>52HIGH</stp>
        <stp>ISRG</stp>
        <tr r="N245" s="1"/>
      </tp>
      <tp>
        <v>77.5</v>
        <stp/>
        <stp>52HIGH</stp>
        <stp>ESRX</stp>
        <tr r="N167" s="1"/>
      </tp>
      <tp>
        <v>33.295000000000002</v>
        <stp/>
        <stp>52LOW</stp>
        <stp>CMCSA</stp>
        <tr r="O102" s="1"/>
      </tp>
      <tp>
        <v>37.590000000000003</v>
        <stp/>
        <stp>Mark</stp>
        <stp>MYL</stp>
        <tr r="P321" s="1"/>
      </tp>
      <tp>
        <v>37.590000000000003</v>
        <stp/>
        <stp>Last</stp>
        <stp>MYL</stp>
        <tr r="B321" s="1"/>
      </tp>
      <tp>
        <v>90.95</v>
        <stp/>
        <stp>Mark</stp>
        <stp>MSI</stp>
        <tr r="P316" s="1"/>
      </tp>
      <tp>
        <v>15.05</v>
        <stp/>
        <stp>Last</stp>
        <stp>MRO</stp>
        <tr r="B313" s="1"/>
      </tp>
      <tp>
        <v>55.2</v>
        <stp/>
        <stp>Last</stp>
        <stp>MRK</stp>
        <tr r="B312" s="1"/>
      </tp>
      <tp>
        <v>55.2</v>
        <stp/>
        <stp>Mark</stp>
        <stp>MRK</stp>
        <tr r="P312" s="1"/>
      </tp>
      <tp>
        <v>15.05</v>
        <stp/>
        <stp>Mark</stp>
        <stp>MRO</stp>
        <tr r="P313" s="1"/>
      </tp>
      <tp>
        <v>90.95</v>
        <stp/>
        <stp>Last</stp>
        <stp>MSI</stp>
        <tr r="B316" s="1"/>
      </tp>
      <tp>
        <v>62.27</v>
        <stp/>
        <stp>Last</stp>
        <stp>MPC</stp>
        <tr r="B311" s="1"/>
      </tp>
      <tp>
        <v>62.27</v>
        <stp/>
        <stp>Mark</stp>
        <stp>MPC</stp>
        <tr r="P311" s="1"/>
      </tp>
      <tp>
        <v>0</v>
        <stp/>
        <stp>Mark</stp>
        <stp>MWV</stp>
        <tr r="P320" s="1"/>
      </tp>
      <tp>
        <v>0</v>
        <stp/>
        <stp>Last</stp>
        <stp>MWV</stp>
        <tr r="B320" s="1"/>
      </tp>
      <tp>
        <v>160.57</v>
        <stp/>
        <stp>Last</stp>
        <stp>MTB</stp>
        <tr r="B317" s="1"/>
      </tp>
      <tp>
        <v>27.99</v>
        <stp/>
        <stp>Mark</stp>
        <stp>MUR</stp>
        <tr r="P319" s="1"/>
      </tp>
      <tp>
        <v>27.99</v>
        <stp/>
        <stp>Last</stp>
        <stp>MUR</stp>
        <tr r="B319" s="1"/>
      </tp>
      <tp>
        <v>160.57</v>
        <stp/>
        <stp>Mark</stp>
        <stp>MTB</stp>
        <tr r="P317" s="1"/>
      </tp>
      <tp>
        <v>99.39</v>
        <stp/>
        <stp>Mark</stp>
        <stp>MKC</stp>
        <tr r="P303" s="1"/>
      </tp>
      <tp>
        <v>0</v>
        <stp/>
        <stp>Last</stp>
        <stp>MJN</stp>
        <tr r="B302" s="1"/>
      </tp>
      <tp>
        <v>60.6</v>
        <stp/>
        <stp>Mark</stp>
        <stp>MJN</stp>
        <tr r="P302" s="1"/>
      </tp>
      <tp>
        <v>99.33</v>
        <stp/>
        <stp>Last</stp>
        <stp>MKC</stp>
        <tr r="B303" s="1"/>
      </tp>
      <tp t="s">
        <v>N/A</v>
        <stp/>
        <stp>Last</stp>
        <stp>MHP</stp>
        <tr r="B301" s="1"/>
      </tp>
      <tp t="s">
        <v>N/A</v>
        <stp/>
        <stp>Mark</stp>
        <stp>MHP</stp>
        <tr r="P301" s="1"/>
      </tp>
      <tp>
        <v>118.33</v>
        <stp/>
        <stp>Mark</stp>
        <stp>MON</stp>
        <tr r="P309" s="1"/>
      </tp>
      <tp>
        <v>22.94</v>
        <stp/>
        <stp>Mark</stp>
        <stp>MOS</stp>
        <tr r="P310" s="1"/>
      </tp>
      <tp>
        <v>22.94</v>
        <stp/>
        <stp>Last</stp>
        <stp>MOS</stp>
        <tr r="B310" s="1"/>
      </tp>
      <tp>
        <v>118.33</v>
        <stp/>
        <stp>Last</stp>
        <stp>MON</stp>
        <tr r="B309" s="1"/>
      </tp>
      <tp>
        <v>229.36</v>
        <stp/>
        <stp>Mark</stp>
        <stp>MMM</stp>
        <tr r="P305" s="1"/>
      </tp>
      <tp>
        <v>82.35</v>
        <stp/>
        <stp>Mark</stp>
        <stp>MMC</stp>
        <tr r="P304" s="1"/>
      </tp>
      <tp>
        <v>82.35</v>
        <stp/>
        <stp>Last</stp>
        <stp>MMC</stp>
        <tr r="B304" s="1"/>
      </tp>
      <tp>
        <v>229.36</v>
        <stp/>
        <stp>Last</stp>
        <stp>MMM</stp>
        <tr r="B305" s="1"/>
      </tp>
      <tp>
        <v>142.13</v>
        <stp/>
        <stp>Mark</stp>
        <stp>MCK</stp>
        <tr r="P296" s="1"/>
      </tp>
      <tp>
        <v>146.79</v>
        <stp/>
        <stp>Mark</stp>
        <stp>MCO</stp>
        <tr r="P297" s="1"/>
      </tp>
      <tp>
        <v>166.72</v>
        <stp/>
        <stp>Mark</stp>
        <stp>MCD</stp>
        <tr r="P294" s="1"/>
      </tp>
      <tp>
        <v>166.72</v>
        <stp/>
        <stp>Last</stp>
        <stp>MCD</stp>
        <tr r="B294" s="1"/>
      </tp>
      <tp>
        <v>146.79</v>
        <stp/>
        <stp>Last</stp>
        <stp>MCO</stp>
        <tr r="B297" s="1"/>
      </tp>
      <tp>
        <v>142.13</v>
        <stp/>
        <stp>Last</stp>
        <stp>MCK</stp>
        <tr r="B296" s="1"/>
      </tp>
      <tp>
        <v>64.209999999999994</v>
        <stp/>
        <stp>Mark</stp>
        <stp>MAC</stp>
        <tr r="P290" s="1"/>
      </tp>
      <tp>
        <v>39.36</v>
        <stp/>
        <stp>Mark</stp>
        <stp>MAS</stp>
        <tr r="P292" s="1"/>
      </tp>
      <tp>
        <v>125.48</v>
        <stp/>
        <stp>Mark</stp>
        <stp>MAR</stp>
        <tr r="P291" s="1"/>
      </tp>
      <tp>
        <v>18.68</v>
        <stp/>
        <stp>Mark</stp>
        <stp>MAT</stp>
        <tr r="P293" s="1"/>
      </tp>
      <tp>
        <v>18.68</v>
        <stp/>
        <stp>Last</stp>
        <stp>MAT</stp>
        <tr r="B293" s="1"/>
      </tp>
      <tp>
        <v>125.48</v>
        <stp/>
        <stp>Last</stp>
        <stp>MAR</stp>
        <tr r="B291" s="1"/>
      </tp>
      <tp>
        <v>39.36</v>
        <stp/>
        <stp>Last</stp>
        <stp>MAS</stp>
        <tr r="B292" s="1"/>
      </tp>
      <tp>
        <v>64.209999999999994</v>
        <stp/>
        <stp>Last</stp>
        <stp>MAC</stp>
        <tr r="B290" s="1"/>
      </tp>
      <tp>
        <v>79.489999999999995</v>
        <stp/>
        <stp>Last</stp>
        <stp>MDT</stp>
        <tr r="B299" s="1"/>
      </tp>
      <tp>
        <v>51.65</v>
        <stp/>
        <stp>Mark</stp>
        <stp>MET</stp>
        <tr r="P300" s="1"/>
      </tp>
      <tp>
        <v>15.69</v>
        <stp/>
        <stp>OPEN</stp>
        <stp>NWSA</stp>
        <tr r="K342" s="1"/>
      </tp>
      <tp>
        <v>51.65</v>
        <stp/>
        <stp>Last</stp>
        <stp>MET</stp>
        <tr r="B300" s="1"/>
      </tp>
      <tp>
        <v>79.489999999999995</v>
        <stp/>
        <stp>Mark</stp>
        <stp>MDT</stp>
        <tr r="P299" s="1"/>
      </tp>
      <tp>
        <v>61.279899999999998</v>
        <stp/>
        <stp>52HIGH</stp>
        <stp>GRMN</stp>
        <tr r="N208" s="1"/>
      </tp>
      <tp>
        <v>286.57</v>
        <stp/>
        <stp>52HIGH</stp>
        <stp>ORLY</stp>
        <tr r="N348" s="1"/>
      </tp>
      <tp>
        <v>97.35</v>
        <stp/>
        <stp>52HIGH</stp>
        <stp>TROW</stp>
        <tr r="N447" s="1"/>
      </tp>
      <tp>
        <v>53.58</v>
        <stp/>
        <stp>52HIGH</stp>
        <stp>TRIP</stp>
        <tr r="N446" s="1"/>
      </tp>
      <tp>
        <v>91.73</v>
        <stp/>
        <stp>52HIGH</stp>
        <stp>PRGO</stp>
        <tr r="N378" s="1"/>
      </tp>
      <tp>
        <v>91.32</v>
        <stp/>
        <stp>52HIGH</stp>
        <stp>KRFT</stp>
        <tr r="N267" s="1"/>
      </tp>
      <tp>
        <v>67.95</v>
        <stp/>
        <stp>52HIGH</stp>
        <stp>XRAY</stp>
        <tr r="N497" s="1"/>
      </tp>
      <tp>
        <v>58.51</v>
        <stp/>
        <stp>52HIGH</stp>
        <stp>BRCM</stp>
        <tr r="N72" s="1"/>
      </tp>
      <tp>
        <v>53.14</v>
        <stp/>
        <stp>52HIGH</stp>
        <stp>ORCL</stp>
        <tr r="N347" s="1"/>
      </tp>
      <tp>
        <v>88</v>
        <stp/>
        <stp>52HIGH</stp>
        <stp>SRCL</stp>
        <tr r="N420" s="1"/>
      </tp>
      <tp>
        <v>214.72</v>
        <stp/>
        <stp>52HIGH</stp>
        <stp>LRCX</stp>
        <tr r="N282" s="1"/>
      </tp>
      <tp>
        <v>39.71</v>
        <stp/>
        <stp>52HIGH</stp>
        <stp>URBN</stp>
        <tr r="N461" s="1"/>
      </tp>
      <tp>
        <v>113.62</v>
        <stp/>
        <stp>52HIGH</stp>
        <stp>VRSN</stp>
        <tr r="N471" s="1"/>
      </tp>
      <tp>
        <v>0</v>
        <stp/>
        <stp>OPEN</stp>
        <stp>SPLS</stp>
        <tr r="K419" s="1"/>
      </tp>
      <tp>
        <v>30.64</v>
        <stp/>
        <stp>HIGH</stp>
        <stp>TRIP</stp>
        <tr r="L446" s="1"/>
      </tp>
      <tp>
        <v>0</v>
        <stp/>
        <stp>OPEN</stp>
        <stp>APOL</stp>
        <tr r="K45" s="1"/>
      </tp>
      <tp>
        <v>96.19</v>
        <stp/>
        <stp>HIGH</stp>
        <stp>TROW</stp>
        <tr r="L447" s="1"/>
      </tp>
      <tp>
        <v>221.31</v>
        <stp/>
        <stp>HIGH</stp>
        <stp>ORLY</stp>
        <tr r="L348" s="1"/>
      </tp>
      <tp>
        <v>61.75</v>
        <stp/>
        <stp>HIGH</stp>
        <stp>GRMN</stp>
        <tr r="L208" s="1"/>
      </tp>
      <tp>
        <v>28.05</v>
        <stp/>
        <stp>HIGH</stp>
        <stp>URBN</stp>
        <tr r="L461" s="1"/>
      </tp>
      <tp>
        <v>217</v>
        <stp/>
        <stp>HIGH</stp>
        <stp>LRCX</stp>
        <tr r="L282" s="1"/>
      </tp>
      <tp>
        <v>0</v>
        <stp/>
        <stp>HIGH</stp>
        <stp>BRCM</stp>
        <tr r="L72" s="1"/>
      </tp>
      <tp>
        <v>63.45</v>
        <stp/>
        <stp>HIGH</stp>
        <stp>SRCL</stp>
        <tr r="L420" s="1"/>
      </tp>
      <tp>
        <v>49.23</v>
        <stp/>
        <stp>HIGH</stp>
        <stp>ORCL</stp>
        <tr r="L347" s="1"/>
      </tp>
      <tp>
        <v>98.14</v>
        <stp/>
        <stp>Last</stp>
        <stp>JPM</stp>
        <tr r="B256" s="1"/>
      </tp>
      <tp>
        <v>67.67</v>
        <stp/>
        <stp>HIGH</stp>
        <stp>XRAY</stp>
        <tr r="L497" s="1"/>
      </tp>
      <tp>
        <v>98.14</v>
        <stp/>
        <stp>Mark</stp>
        <stp>JPM</stp>
        <tr r="P256" s="1"/>
      </tp>
      <tp>
        <v>0</v>
        <stp/>
        <stp>HIGH</stp>
        <stp>KRFT</stp>
        <tr r="L267" s="1"/>
      </tp>
      <tp>
        <v>40.86</v>
        <stp/>
        <stp>Mark</stp>
        <stp>JWN</stp>
        <tr r="P257" s="1"/>
      </tp>
      <tp>
        <v>86.78</v>
        <stp/>
        <stp>HIGH</stp>
        <stp>PRGO</stp>
        <tr r="L378" s="1"/>
      </tp>
      <tp>
        <v>40.86</v>
        <stp/>
        <stp>Last</stp>
        <stp>JWN</stp>
        <tr r="B257" s="1"/>
      </tp>
      <tp>
        <v>28.3</v>
        <stp/>
        <stp>Mark</stp>
        <stp>JOY</stp>
        <tr r="P255" s="1"/>
      </tp>
      <tp>
        <v>138</v>
        <stp/>
        <stp>Last</stp>
        <stp>JNJ</stp>
        <tr r="B253" s="1"/>
      </tp>
      <tp>
        <v>138</v>
        <stp/>
        <stp>Mark</stp>
        <stp>JNJ</stp>
        <tr r="P253" s="1"/>
      </tp>
      <tp>
        <v>28.3</v>
        <stp/>
        <stp>Last</stp>
        <stp>JOY</stp>
        <tr r="B255" s="1"/>
      </tp>
      <tp>
        <v>36.39</v>
        <stp/>
        <stp>Mark</stp>
        <stp>JCI</stp>
        <tr r="P249" s="1"/>
      </tp>
      <tp>
        <v>3.29</v>
        <stp/>
        <stp>Mark</stp>
        <stp>JCP</stp>
        <tr r="P250" s="1"/>
      </tp>
      <tp>
        <v>29.22</v>
        <stp/>
        <stp>Last</stp>
        <stp>JBL</stp>
        <tr r="B248" s="1"/>
      </tp>
      <tp>
        <v>114</v>
        <stp/>
        <stp>HIGH</stp>
        <stp>VRSN</stp>
        <tr r="L471" s="1"/>
      </tp>
      <tp>
        <v>29.22</v>
        <stp/>
        <stp>Mark</stp>
        <stp>JBL</stp>
        <tr r="P248" s="1"/>
      </tp>
      <tp>
        <v>3.29</v>
        <stp/>
        <stp>Last</stp>
        <stp>JCP</stp>
        <tr r="B250" s="1"/>
      </tp>
      <tp>
        <v>60.34</v>
        <stp/>
        <stp>52LOW</stp>
        <stp>YUM</stp>
        <tr r="O501" s="1"/>
      </tp>
      <tp>
        <v>36.39</v>
        <stp/>
        <stp>Last</stp>
        <stp>JCI</stp>
        <tr r="B249" s="1"/>
      </tp>
      <tp>
        <v>58.63</v>
        <stp/>
        <stp>Mark</stp>
        <stp>JEC</stp>
        <tr r="P252" s="1"/>
      </tp>
      <tp>
        <v>58.63</v>
        <stp/>
        <stp>Last</stp>
        <stp>JEC</stp>
        <tr r="B252" s="1"/>
      </tp>
      <tp>
        <v>76.05</v>
        <stp/>
        <stp>52LOW</stp>
        <stp>XOM</stp>
        <tr r="O496" s="1"/>
      </tp>
      <tp>
        <v>60.8</v>
        <stp/>
        <stp>HIGH</stp>
        <stp>FSLR</stp>
        <tr r="L193" s="1"/>
      </tp>
      <tp>
        <v>43.7</v>
        <stp/>
        <stp>Mark</stp>
        <stp>KSS</stp>
        <tr r="P268" s="1"/>
      </tp>
      <tp>
        <v>36.32</v>
        <stp/>
        <stp>HIGH</stp>
        <stp>CSCO</stp>
        <tr r="L119" s="1"/>
      </tp>
      <tp>
        <v>43.72</v>
        <stp/>
        <stp>Last</stp>
        <stp>KSS</stp>
        <tr r="B268" s="1"/>
      </tp>
      <tp>
        <v>38.22</v>
        <stp/>
        <stp>52LOW</stp>
        <stp>XEL</stp>
        <tr r="O493" s="1"/>
      </tp>
      <tp>
        <v>83.12</v>
        <stp/>
        <stp>HIGH</stp>
        <stp>MSFT</stp>
        <tr r="L315" s="1"/>
      </tp>
      <tp>
        <v>19.350000000000001</v>
        <stp/>
        <stp>Mark</stp>
        <stp>KIM</stp>
        <tr r="P260" s="1"/>
      </tp>
      <tp>
        <v>19.350000000000001</v>
        <stp/>
        <stp>Last</stp>
        <stp>KIM</stp>
        <tr r="B260" s="1"/>
      </tp>
      <tp>
        <v>46.67</v>
        <stp/>
        <stp>52LOW</stp>
        <stp>XYL</stp>
        <tr r="O499" s="1"/>
      </tp>
      <tp>
        <v>16.989999999999998</v>
        <stp/>
        <stp>Mark</stp>
        <stp>KMI</stp>
        <tr r="P263" s="1"/>
      </tp>
      <tp>
        <v>114.32</v>
        <stp/>
        <stp>Mark</stp>
        <stp>KMB</stp>
        <tr r="P262" s="1"/>
      </tp>
      <tp>
        <v>69.45</v>
        <stp/>
        <stp>Mark</stp>
        <stp>KMX</stp>
        <tr r="P264" s="1"/>
      </tp>
      <tp>
        <v>69.45</v>
        <stp/>
        <stp>Last</stp>
        <stp>KMX</stp>
        <tr r="B264" s="1"/>
      </tp>
      <tp>
        <v>114.32</v>
        <stp/>
        <stp>Last</stp>
        <stp>KMB</stp>
        <tr r="B262" s="1"/>
      </tp>
      <tp>
        <v>17.010000000000002</v>
        <stp/>
        <stp>Last</stp>
        <stp>KMI</stp>
        <tr r="B263" s="1"/>
      </tp>
      <tp>
        <v>62.22</v>
        <stp/>
        <stp>HIGH</stp>
        <stp>ESRX</stp>
        <tr r="L167" s="1"/>
      </tp>
      <tp>
        <v>400</v>
        <stp/>
        <stp>HIGH</stp>
        <stp>ISRG</stp>
        <tr r="L245" s="1"/>
      </tp>
      <tp>
        <v>22.894614000000001</v>
        <stp/>
        <stp>52LOW</stp>
        <stp>XRX</stp>
        <tr r="O498" s="1"/>
      </tp>
      <tp>
        <v>18.309999999999999</v>
        <stp/>
        <stp>Mark</stp>
        <stp>KEY</stp>
        <tr r="P259" s="1"/>
      </tp>
      <tp>
        <v>18.309999999999999</v>
        <stp/>
        <stp>Last</stp>
        <stp>KEY</stp>
        <tr r="B259" s="1"/>
      </tp>
      <tp t="s">
        <v>instrument=null</v>
        <stp/>
        <stp>QUOTE_TREND</stp>
        <stp>BRK-B</stp>
        <tr r="D73" s="1"/>
      </tp>
      <tp>
        <v>45.7</v>
        <stp/>
        <stp>52HIGH</stp>
        <stp>ETFC</stp>
        <tr r="N169" s="1"/>
      </tp>
      <tp>
        <v>53.89</v>
        <stp/>
        <stp>52HIGH</stp>
        <stp>NTAP</stp>
        <tr r="N336" s="1"/>
      </tp>
      <tp>
        <v>152.83000000000001</v>
        <stp/>
        <stp>52HIGH</stp>
        <stp>CTAS</stp>
        <tr r="N121" s="1"/>
      </tp>
      <tp>
        <v>87.99</v>
        <stp/>
        <stp>52HIGH</stp>
        <stp>CTXS</stp>
        <tr r="N124" s="1"/>
      </tp>
      <tp>
        <v>76.510000000000005</v>
        <stp/>
        <stp>52HIGH</stp>
        <stp>CTSH</stp>
        <tr r="N123" s="1"/>
      </tp>
      <tp>
        <v>99.3</v>
        <stp/>
        <stp>52HIGH</stp>
        <stp>NTRS</stp>
        <tr r="N337" s="1"/>
      </tp>
      <tp>
        <v>36.119999999999997</v>
        <stp/>
        <stp>LOW</stp>
        <stp>CMCSA</stp>
        <tr r="M102" s="1"/>
      </tp>
      <tp t="s">
        <v>N/A</v>
        <stp/>
        <stp>Last</stp>
        <stp>BRK-B</stp>
        <tr r="B73" s="1"/>
      </tp>
      <tp>
        <v>219.83</v>
        <stp/>
        <stp>OPEN</stp>
        <stp>ORLY</stp>
        <tr r="K348" s="1"/>
      </tp>
      <tp>
        <v>60.68</v>
        <stp/>
        <stp>OPEN</stp>
        <stp>GRMN</stp>
        <tr r="K208" s="1"/>
      </tp>
      <tp>
        <v>95.38</v>
        <stp/>
        <stp>OPEN</stp>
        <stp>TROW</stp>
        <tr r="K447" s="1"/>
      </tp>
      <tp>
        <v>30.24</v>
        <stp/>
        <stp>OPEN</stp>
        <stp>TRIP</stp>
        <tr r="K446" s="1"/>
      </tp>
      <tp>
        <v>0</v>
        <stp/>
        <stp>HIGH</stp>
        <stp>APOL</stp>
        <tr r="L45" s="1"/>
      </tp>
      <tp>
        <v>0</v>
        <stp/>
        <stp>HIGH</stp>
        <stp>SPLS</stp>
        <tr r="L419" s="1"/>
      </tp>
      <tp>
        <v>139.84</v>
        <stp/>
        <stp>Last</stp>
        <stp>HRS</stp>
        <tr r="B230" s="1"/>
      </tp>
      <tp>
        <v>109.09</v>
        <stp/>
        <stp>Mark</stp>
        <stp>HSY</stp>
        <tr r="P233" s="1"/>
      </tp>
      <tp>
        <v>26.09</v>
        <stp/>
        <stp>Last</stp>
        <stp>HRB</stp>
        <tr r="B228" s="1"/>
      </tp>
      <tp>
        <v>102.09</v>
        <stp/>
        <stp>Mark</stp>
        <stp>HSP</stp>
        <tr r="P231" s="1"/>
      </tp>
      <tp>
        <v>33.119999999999997</v>
        <stp/>
        <stp>Last</stp>
        <stp>HRL</stp>
        <tr r="B229" s="1"/>
      </tp>
      <tp>
        <v>19.89</v>
        <stp/>
        <stp>Mark</stp>
        <stp>HST</stp>
        <tr r="P232" s="1"/>
      </tp>
      <tp>
        <v>19.89</v>
        <stp/>
        <stp>Last</stp>
        <stp>HST</stp>
        <tr r="B232" s="1"/>
      </tp>
      <tp>
        <v>33.119999999999997</v>
        <stp/>
        <stp>Mark</stp>
        <stp>HRL</stp>
        <tr r="P229" s="1"/>
      </tp>
      <tp>
        <v>0</v>
        <stp/>
        <stp>Last</stp>
        <stp>HSP</stp>
        <tr r="B231" s="1"/>
      </tp>
      <tp>
        <v>26.09</v>
        <stp/>
        <stp>Mark</stp>
        <stp>HRB</stp>
        <tr r="P228" s="1"/>
      </tp>
      <tp>
        <v>109.1</v>
        <stp/>
        <stp>Last</stp>
        <stp>HSY</stp>
        <tr r="B233" s="1"/>
      </tp>
      <tp>
        <v>139.84</v>
        <stp/>
        <stp>Mark</stp>
        <stp>HRS</stp>
        <tr r="P230" s="1"/>
      </tp>
      <tp>
        <v>0</v>
        <stp/>
        <stp>OPEN</stp>
        <stp>KRFT</stp>
        <tr r="K267" s="1"/>
      </tp>
      <tp>
        <v>21.75</v>
        <stp/>
        <stp>Last</stp>
        <stp>HPQ</stp>
        <tr r="B227" s="1"/>
      </tp>
      <tp>
        <v>86.51</v>
        <stp/>
        <stp>OPEN</stp>
        <stp>PRGO</stp>
        <tr r="K378" s="1"/>
      </tp>
      <tp>
        <v>21.75</v>
        <stp/>
        <stp>Mark</stp>
        <stp>HPQ</stp>
        <tr r="P227" s="1"/>
      </tp>
      <tp>
        <v>67.06</v>
        <stp/>
        <stp>OPEN</stp>
        <stp>XRAY</stp>
        <tr r="K497" s="1"/>
      </tp>
      <tp>
        <v>27.55</v>
        <stp/>
        <stp>OPEN</stp>
        <stp>URBN</stp>
        <tr r="K461" s="1"/>
      </tp>
      <tp>
        <v>233.46</v>
        <stp/>
        <stp>Mark</stp>
        <stp>HUM</stp>
        <tr r="P234" s="1"/>
      </tp>
      <tp>
        <v>216.87</v>
        <stp/>
        <stp>OPEN</stp>
        <stp>LRCX</stp>
        <tr r="K282" s="1"/>
      </tp>
      <tp>
        <v>49</v>
        <stp/>
        <stp>OPEN</stp>
        <stp>ORCL</stp>
        <tr r="K347" s="1"/>
      </tp>
      <tp>
        <v>62.61</v>
        <stp/>
        <stp>OPEN</stp>
        <stp>SRCL</stp>
        <tr r="K420" s="1"/>
      </tp>
      <tp>
        <v>0</v>
        <stp/>
        <stp>OPEN</stp>
        <stp>BRCM</stp>
        <tr r="K72" s="1"/>
      </tp>
      <tp>
        <v>233.46</v>
        <stp/>
        <stp>Last</stp>
        <stp>HUM</stp>
        <tr r="B234" s="1"/>
      </tp>
      <tp>
        <v>56.14</v>
        <stp/>
        <stp>Mark</stp>
        <stp>HIG</stp>
        <tr r="P221" s="1"/>
      </tp>
      <tp>
        <v>56.14</v>
        <stp/>
        <stp>Last</stp>
        <stp>HIG</stp>
        <tr r="B221" s="1"/>
      </tp>
      <tp>
        <v>146.49</v>
        <stp/>
        <stp>Mark</stp>
        <stp>HON</stp>
        <tr r="P224" s="1"/>
      </tp>
      <tp t="s">
        <v>N/A</v>
        <stp/>
        <stp>Last</stp>
        <stp>HNZ</stp>
        <tr r="B222" s="1"/>
      </tp>
      <tp>
        <v>47.25</v>
        <stp/>
        <stp>Mark</stp>
        <stp>HOG</stp>
        <tr r="P223" s="1"/>
      </tp>
      <tp>
        <v>77.05</v>
        <stp/>
        <stp>Mark</stp>
        <stp>HOT</stp>
        <tr r="P225" s="1"/>
      </tp>
      <tp>
        <v>77.05</v>
        <stp/>
        <stp>Last</stp>
        <stp>HOT</stp>
        <tr r="B225" s="1"/>
      </tp>
      <tp>
        <v>47.25</v>
        <stp/>
        <stp>Last</stp>
        <stp>HOG</stp>
        <tr r="B223" s="1"/>
      </tp>
      <tp t="s">
        <v>N/A</v>
        <stp/>
        <stp>Mark</stp>
        <stp>HNZ</stp>
        <tr r="P222" s="1"/>
      </tp>
      <tp>
        <v>146.49</v>
        <stp/>
        <stp>Last</stp>
        <stp>HON</stp>
        <tr r="B224" s="1"/>
      </tp>
      <tp>
        <v>67.959999999999994</v>
        <stp/>
        <stp>Mark</stp>
        <stp>HCN</stp>
        <tr r="P217" s="1"/>
      </tp>
      <tp>
        <v>26.8</v>
        <stp/>
        <stp>Mark</stp>
        <stp>HCP</stp>
        <tr r="P218" s="1"/>
      </tp>
      <tp>
        <v>26.8</v>
        <stp/>
        <stp>Last</stp>
        <stp>HCP</stp>
        <tr r="B218" s="1"/>
      </tp>
      <tp>
        <v>67.959999999999994</v>
        <stp/>
        <stp>Last</stp>
        <stp>HCN</stp>
        <tr r="B217" s="1"/>
      </tp>
      <tp>
        <v>41.77</v>
        <stp/>
        <stp>Mark</stp>
        <stp>HAL</stp>
        <tr r="P212" s="1"/>
      </tp>
      <tp>
        <v>95.89</v>
        <stp/>
        <stp>Mark</stp>
        <stp>HAS</stp>
        <tr r="P214" s="1"/>
      </tp>
      <tp>
        <v>111.97</v>
        <stp/>
        <stp>Mark</stp>
        <stp>HAR</stp>
        <tr r="P213" s="1"/>
      </tp>
      <tp>
        <v>111.5</v>
        <stp/>
        <stp>Last</stp>
        <stp>HAR</stp>
        <tr r="B213" s="1"/>
      </tp>
      <tp>
        <v>95.89</v>
        <stp/>
        <stp>Last</stp>
        <stp>HAS</stp>
        <tr r="B214" s="1"/>
      </tp>
      <tp>
        <v>41.77</v>
        <stp/>
        <stp>Last</stp>
        <stp>HAL</stp>
        <tr r="B212" s="1"/>
      </tp>
      <tp>
        <v>44.56</v>
        <stp/>
        <stp>Mark</stp>
        <stp>HES</stp>
        <tr r="P220" s="1"/>
      </tp>
      <tp>
        <v>112.8</v>
        <stp/>
        <stp>OPEN</stp>
        <stp>VRSN</stp>
        <tr r="K471" s="1"/>
      </tp>
      <tp>
        <v>44.55</v>
        <stp/>
        <stp>Last</stp>
        <stp>HES</stp>
        <tr r="B220" s="1"/>
      </tp>
      <tp>
        <v>30.25</v>
        <stp/>
        <stp>52HIGH</stp>
        <stp>DISCA</stp>
        <tr r="N139" s="1"/>
      </tp>
      <tp>
        <v>15.79</v>
        <stp/>
        <stp>52HIGH</stp>
        <stp>NWSA</stp>
        <tr r="N342" s="1"/>
      </tp>
      <tp>
        <v>17.5</v>
        <stp/>
        <stp>BID</stp>
        <stp>DISCA</stp>
        <tr r="F139" s="1"/>
      </tp>
      <tp>
        <v>-0.04</v>
        <stp/>
        <stp>NET_CHANGE</stp>
        <stp>XL</stp>
        <tr r="E494" s="1"/>
      </tp>
      <tp>
        <v>0</v>
        <stp/>
        <stp>NET_CHANGE</stp>
        <stp>TE</stp>
        <tr r="E436" s="1"/>
      </tp>
      <tp>
        <v>-0.09</v>
        <stp/>
        <stp>NET_CHANGE</stp>
        <stp>WU</stp>
        <tr r="E488" s="1"/>
      </tp>
      <tp>
        <v>-0.27</v>
        <stp/>
        <stp>NET_CHANGE</stp>
        <stp>WY</stp>
        <tr r="E489" s="1"/>
      </tp>
      <tp>
        <v>-1.05</v>
        <stp/>
        <stp>NET_CHANGE</stp>
        <stp>WM</stp>
        <tr r="E483" s="1"/>
      </tp>
      <tp>
        <v>0.65</v>
        <stp/>
        <stp>NET_CHANGE</stp>
        <stp>VZ</stp>
        <tr r="E473" s="1"/>
      </tp>
      <tp>
        <v>1.6</v>
        <stp/>
        <stp>NET_CHANGE</stp>
        <stp>PX</stp>
        <tr r="E384" s="1"/>
      </tp>
      <tp>
        <v>-0.82</v>
        <stp/>
        <stp>NET_CHANGE</stp>
        <stp>PG</stp>
        <tr r="E364" s="1"/>
      </tp>
      <tp>
        <v>0.04</v>
        <stp/>
        <stp>NET_CHANGE</stp>
        <stp>PH</stp>
        <tr r="E366" s="1"/>
      </tp>
      <tp>
        <v>-0.02</v>
        <stp/>
        <stp>NET_CHANGE</stp>
        <stp>PM</stp>
        <tr r="E371" s="1"/>
      </tp>
      <tp>
        <v>-0.03</v>
        <stp/>
        <stp>NET_CHANGE</stp>
        <stp>SE</stp>
        <tr r="E407" s="1"/>
      </tp>
      <tp>
        <v>-0.39</v>
        <stp/>
        <stp>NET_CHANGE</stp>
        <stp>SO</stp>
        <tr r="E417" s="1"/>
      </tp>
      <tp>
        <v>0.1</v>
        <stp/>
        <stp>NET_CHANGE</stp>
        <stp>RF</stp>
        <tr r="E392" s="1"/>
      </tp>
      <tp>
        <v>0.7</v>
        <stp/>
        <stp>NET_CHANGE</stp>
        <stp>RL</stp>
        <tr r="E395" s="1"/>
      </tp>
      <tp>
        <v>0.1</v>
        <stp/>
        <stp>NET_CHANGE</stp>
        <stp>MS</stp>
        <tr r="E314" s="1"/>
      </tp>
      <tp>
        <v>-0.02</v>
        <stp/>
        <stp>NET_CHANGE</stp>
        <stp>MU</stp>
        <tr r="E318" s="1"/>
      </tp>
      <tp>
        <v>-1.31</v>
        <stp/>
        <stp>NET_CHANGE</stp>
        <stp>MA</stp>
        <tr r="E289" s="1"/>
      </tp>
      <tp>
        <v>0.54</v>
        <stp/>
        <stp>NET_CHANGE</stp>
        <stp>MO</stp>
        <tr r="E307" s="1"/>
      </tp>
      <tp>
        <v>-0.66</v>
        <stp/>
        <stp>NET_CHANGE</stp>
        <stp>LH</stp>
        <tr r="E272" s="1"/>
      </tp>
      <tp>
        <v>-0.13</v>
        <stp/>
        <stp>NET_CHANGE</stp>
        <stp>LM</stp>
        <tr r="E277" s="1"/>
      </tp>
      <tp>
        <v>0</v>
        <stp/>
        <stp>NET_CHANGE</stp>
        <stp>LO</stp>
        <tr r="E280" s="1"/>
      </tp>
      <tp>
        <v>-0.05</v>
        <stp/>
        <stp>NET_CHANGE</stp>
        <stp>OI</stp>
        <tr r="E344" s="1"/>
      </tp>
      <tp>
        <v>0</v>
        <stp/>
        <stp>NET_CHANGE</stp>
        <stp>NU</stp>
        <tr r="E338" s="1"/>
      </tp>
      <tp>
        <v>0.06</v>
        <stp/>
        <stp>NET_CHANGE</stp>
        <stp>NE</stp>
        <tr r="E325" s="1"/>
      </tp>
      <tp>
        <v>-0.24</v>
        <stp/>
        <stp>NET_CHANGE</stp>
        <stp>NI</stp>
        <tr r="E330" s="1"/>
      </tp>
      <tp>
        <v>0.14000000000000001</v>
        <stp/>
        <stp>NET_CHANGE</stp>
        <stp>IP</stp>
        <tr r="E241" s="1"/>
      </tp>
      <tp>
        <v>-0.14000000000000001</v>
        <stp/>
        <stp>NET_CHANGE</stp>
        <stp>IR</stp>
        <tr r="E243" s="1"/>
      </tp>
      <tp>
        <v>1.31</v>
        <stp/>
        <stp>NET_CHANGE</stp>
        <stp>HP</stp>
        <tr r="E226" s="1"/>
      </tp>
      <tp>
        <v>0.24</v>
        <stp/>
        <stp>NET_CHANGE</stp>
        <stp>HD</stp>
        <tr r="E219" s="1"/>
      </tp>
      <tp>
        <v>1.1299999999999999</v>
        <stp/>
        <stp>NET_CHANGE</stp>
        <stp>KR</stp>
        <tr r="E266" s="1"/>
      </tp>
      <tp>
        <v>-0.84</v>
        <stp/>
        <stp>NET_CHANGE</stp>
        <stp>KO</stp>
        <tr r="E265" s="1"/>
      </tp>
      <tp>
        <v>-0.01</v>
        <stp/>
        <stp>NET_CHANGE</stp>
        <stp>EW</stp>
        <tr r="E172" s="1"/>
      </tp>
      <tp>
        <v>-2.78</v>
        <stp/>
        <stp>NET_CHANGE</stp>
        <stp>EA</stp>
        <tr r="E154" s="1"/>
      </tp>
      <tp>
        <v>-0.83</v>
        <stp/>
        <stp>NET_CHANGE</stp>
        <stp>ED</stp>
        <tr r="E157" s="1"/>
      </tp>
      <tp>
        <v>-0.95</v>
        <stp/>
        <stp>NET_CHANGE</stp>
        <stp>EL</stp>
        <tr r="E160" s="1"/>
      </tp>
      <tp>
        <v>1.1599999999999999</v>
        <stp/>
        <stp>NET_CHANGE</stp>
        <stp>DE</stp>
        <tr r="E130" s="1"/>
      </tp>
      <tp>
        <v>0</v>
        <stp/>
        <stp>NET_CHANGE</stp>
        <stp>DD</stp>
        <tr r="E129" s="1"/>
      </tp>
      <tp>
        <v>0.59</v>
        <stp/>
        <stp>NET_CHANGE</stp>
        <stp>DG</stp>
        <tr r="E134" s="1"/>
      </tp>
      <tp>
        <v>0.22</v>
        <stp/>
        <stp>NET_CHANGE</stp>
        <stp>DF</stp>
        <tr r="E132" s="1"/>
      </tp>
      <tp>
        <v>0.3</v>
        <stp/>
        <stp>NET_CHANGE</stp>
        <stp>DO</stp>
        <tr r="E144" s="1"/>
      </tp>
      <tp>
        <v>-1.35</v>
        <stp/>
        <stp>NET_CHANGE</stp>
        <stp>GS</stp>
        <tr r="E209" s="1"/>
      </tp>
      <tp>
        <v>0.63</v>
        <stp/>
        <stp>NET_CHANGE</stp>
        <stp>GT</stp>
        <tr r="E210" s="1"/>
      </tp>
      <tp>
        <v>-0.04</v>
        <stp/>
        <stp>NET_CHANGE</stp>
        <stp>GE</stp>
        <tr r="E199" s="1"/>
      </tp>
      <tp>
        <v>-1.45</v>
        <stp/>
        <stp>NET_CHANGE</stp>
        <stp>GD</stp>
        <tr r="E198" s="1"/>
      </tp>
      <tp>
        <v>0.01</v>
        <stp/>
        <stp>NET_CHANGE</stp>
        <stp>FE</stp>
        <tr r="E181" s="1"/>
      </tp>
      <tp>
        <v>1.1000000000000001</v>
        <stp/>
        <stp>NET_CHANGE</stp>
        <stp>AA</stp>
        <tr r="E5" s="1"/>
      </tp>
      <tp>
        <v>-0.34</v>
        <stp/>
        <stp>NET_CHANGE</stp>
        <stp>AN</stp>
        <tr r="E38" s="1"/>
      </tp>
      <tp>
        <v>-7.0000000000000007E-2</v>
        <stp/>
        <stp>NET_CHANGE</stp>
        <stp>CA</stp>
        <tr r="E79" s="1"/>
      </tp>
      <tp>
        <v>-0.23</v>
        <stp/>
        <stp>NET_CHANGE</stp>
        <stp>CB</stp>
        <tr r="E84" s="1"/>
      </tp>
      <tp>
        <v>-0.69</v>
        <stp/>
        <stp>NET_CHANGE</stp>
        <stp>CF</stp>
        <tr r="E92" s="1"/>
      </tp>
      <tp>
        <v>-3</v>
        <stp/>
        <stp>NET_CHANGE</stp>
        <stp>CI</stp>
        <tr r="E96" s="1"/>
      </tp>
      <tp>
        <v>-0.74</v>
        <stp/>
        <stp>NET_CHANGE</stp>
        <stp>CL</stp>
        <tr r="E98" s="1"/>
      </tp>
      <tp>
        <v>-1.44</v>
        <stp/>
        <stp>NET_CHANGE</stp>
        <stp>BA</stp>
        <tr r="E53" s="1"/>
      </tp>
      <tp>
        <v>0.24</v>
        <stp/>
        <stp>NET_CHANGE</stp>
        <stp>BK</stp>
        <tr r="E66" s="1"/>
      </tp>
      <tp>
        <v>60.76</v>
        <stp/>
        <stp>OPEN</stp>
        <stp>FSLR</stp>
        <tr r="K193" s="1"/>
      </tp>
      <tp>
        <v>0</v>
        <stp/>
        <stp>52LOW</stp>
        <stp>ZMH</stp>
        <tr r="O503" s="1"/>
      </tp>
      <tp>
        <v>40.770000000000003</v>
        <stp/>
        <stp>Last</stp>
        <stp>IRM</stp>
        <tr r="B244" s="1"/>
      </tp>
      <tp>
        <v>40.770000000000003</v>
        <stp/>
        <stp>Mark</stp>
        <stp>IRM</stp>
        <tr r="P244" s="1"/>
      </tp>
      <tp>
        <v>83.12</v>
        <stp/>
        <stp>OPEN</stp>
        <stp>MSFT</stp>
        <tr r="K315" s="1"/>
      </tp>
      <tp>
        <v>19.05</v>
        <stp/>
        <stp>Last</stp>
        <stp>IPG</stp>
        <tr r="B242" s="1"/>
      </tp>
      <tp>
        <v>19.05</v>
        <stp/>
        <stp>Mark</stp>
        <stp>IPG</stp>
        <tr r="P242" s="1"/>
      </tp>
      <tp>
        <v>34.979999999999997</v>
        <stp/>
        <stp>Last</stp>
        <stp>IVZ</stp>
        <tr r="B247" s="1"/>
      </tp>
      <tp>
        <v>34.979999999999997</v>
        <stp/>
        <stp>Mark</stp>
        <stp>IVZ</stp>
        <tr r="P247" s="1"/>
      </tp>
      <tp>
        <v>157.13999999999999</v>
        <stp/>
        <stp>Last</stp>
        <stp>ITW</stp>
        <tr r="B246" s="1"/>
      </tp>
      <tp>
        <v>35.9</v>
        <stp/>
        <stp>OPEN</stp>
        <stp>CSCO</stp>
        <tr r="K119" s="1"/>
      </tp>
      <tp>
        <v>157.13999999999999</v>
        <stp/>
        <stp>Mark</stp>
        <stp>ITW</stp>
        <tr r="P246" s="1"/>
      </tp>
      <tp>
        <v>66.59</v>
        <stp/>
        <stp>Mark</stp>
        <stp>ICE</stp>
        <tr r="P236" s="1"/>
      </tp>
      <tp>
        <v>148.97</v>
        <stp/>
        <stp>Last</stp>
        <stp>IBM</stp>
        <tr r="B235" s="1"/>
      </tp>
      <tp>
        <v>148.97</v>
        <stp/>
        <stp>Mark</stp>
        <stp>IBM</stp>
        <tr r="P235" s="1"/>
      </tp>
      <tp>
        <v>66.59</v>
        <stp/>
        <stp>Last</stp>
        <stp>ICE</stp>
        <tr r="B236" s="1"/>
      </tp>
      <tp>
        <v>148.75</v>
        <stp/>
        <stp>Last</stp>
        <stp>IFF</stp>
        <tr r="B237" s="1"/>
      </tp>
      <tp>
        <v>28.54</v>
        <stp/>
        <stp>Mark</stp>
        <stp>IGT</stp>
        <tr r="P238" s="1"/>
      </tp>
      <tp>
        <v>28.54</v>
        <stp/>
        <stp>Last</stp>
        <stp>IGT</stp>
        <tr r="B238" s="1"/>
      </tp>
      <tp>
        <v>148.75</v>
        <stp/>
        <stp>Mark</stp>
        <stp>IFF</stp>
        <tr r="P237" s="1"/>
      </tp>
      <tp>
        <v>62.13</v>
        <stp/>
        <stp>OPEN</stp>
        <stp>ESRX</stp>
        <tr r="K167" s="1"/>
      </tp>
      <tp>
        <v>394.75</v>
        <stp/>
        <stp>OPEN</stp>
        <stp>ISRG</stp>
        <tr r="K245" s="1"/>
      </tp>
      <tp>
        <v>218.67</v>
        <stp/>
        <stp>52HIGH</stp>
        <stp>NVDA</stp>
        <tr r="N340" s="1"/>
      </tp>
      <tp>
        <v>4</v>
        <stp/>
        <stp>ASK_SIZE</stp>
        <stp>MYL</stp>
        <tr r="I321" s="1"/>
      </tp>
      <tp>
        <v>10</v>
        <stp/>
        <stp>BID_SIZE</stp>
        <stp>WPX</stp>
        <tr r="H487" s="1"/>
      </tp>
      <tp>
        <v>0</v>
        <stp/>
        <stp>BID_SIZE</stp>
        <stp>WPO</stp>
        <tr r="H486" s="1"/>
      </tp>
      <tp>
        <v>2</v>
        <stp/>
        <stp>ASK_SIZE</stp>
        <stp>MPC</stp>
        <tr r="I311" s="1"/>
      </tp>
      <tp>
        <v>8</v>
        <stp/>
        <stp>ASK_SIZE</stp>
        <stp>MRO</stp>
        <tr r="I313" s="1"/>
      </tp>
      <tp>
        <v>1</v>
        <stp/>
        <stp>ASK_SIZE</stp>
        <stp>MRK</stp>
        <tr r="I312" s="1"/>
      </tp>
      <tp>
        <v>1</v>
        <stp/>
        <stp>ASK_SIZE</stp>
        <stp>MSI</stp>
        <tr r="I316" s="1"/>
      </tp>
      <tp>
        <v>7</v>
        <stp/>
        <stp>ASK_SIZE</stp>
        <stp>MTB</stp>
        <tr r="I317" s="1"/>
      </tp>
      <tp>
        <v>14</v>
        <stp/>
        <stp>ASK_SIZE</stp>
        <stp>MUR</stp>
        <tr r="I319" s="1"/>
      </tp>
      <tp>
        <v>2</v>
        <stp/>
        <stp>BID_SIZE</stp>
        <stp>WYN</stp>
        <tr r="H490" s="1"/>
      </tp>
      <tp>
        <v>0</v>
        <stp/>
        <stp>ASK_SIZE</stp>
        <stp>MWV</stp>
        <tr r="I320" s="1"/>
      </tp>
      <tp>
        <v>0</v>
        <stp/>
        <stp>ASK_SIZE</stp>
        <stp>MHP</stp>
        <tr r="I301" s="1"/>
      </tp>
      <tp>
        <v>10</v>
        <stp/>
        <stp>BID_SIZE</stp>
        <stp>WFC</stp>
        <tr r="H478" s="1"/>
      </tp>
      <tp>
        <v>0</v>
        <stp/>
        <stp>BID_SIZE</stp>
        <stp>WFM</stp>
        <tr r="H479" s="1"/>
      </tp>
      <tp>
        <v>5</v>
        <stp/>
        <stp>BID_SIZE</stp>
        <stp>WEC</stp>
        <tr r="H477" s="1"/>
      </tp>
      <tp>
        <v>0</v>
        <stp/>
        <stp>ASK_SIZE</stp>
        <stp>MJN</stp>
        <tr r="I302" s="1"/>
      </tp>
      <tp>
        <v>1</v>
        <stp/>
        <stp>BID_SIZE</stp>
        <stp>WDC</stp>
        <tr r="H476" s="1"/>
      </tp>
      <tp>
        <v>1</v>
        <stp/>
        <stp>ASK_SIZE</stp>
        <stp>MKC</stp>
        <tr r="I303" s="1"/>
      </tp>
      <tp>
        <v>0</v>
        <stp/>
        <stp>ASK_SIZE</stp>
        <stp>MMC</stp>
        <tr r="I304" s="1"/>
      </tp>
      <tp>
        <v>1</v>
        <stp/>
        <stp>ASK_SIZE</stp>
        <stp>MMM</stp>
        <tr r="I305" s="1"/>
      </tp>
      <tp>
        <v>1</v>
        <stp/>
        <stp>BID_SIZE</stp>
        <stp>WAT</stp>
        <tr r="H475" s="1"/>
      </tp>
      <tp>
        <v>0</v>
        <stp/>
        <stp>BID_SIZE</stp>
        <stp>WAG</stp>
        <tr r="H474" s="1"/>
      </tp>
      <tp>
        <v>4</v>
        <stp/>
        <stp>ASK_SIZE</stp>
        <stp>MOS</stp>
        <tr r="I310" s="1"/>
      </tp>
      <tp>
        <v>5</v>
        <stp/>
        <stp>ASK_SIZE</stp>
        <stp>MON</stp>
        <tr r="I309" s="1"/>
      </tp>
      <tp>
        <v>10</v>
        <stp/>
        <stp>ASK_SIZE</stp>
        <stp>MAT</stp>
        <tr r="I293" s="1"/>
      </tp>
      <tp>
        <v>2</v>
        <stp/>
        <stp>ASK_SIZE</stp>
        <stp>MAR</stp>
        <tr r="I291" s="1"/>
      </tp>
      <tp>
        <v>1</v>
        <stp/>
        <stp>ASK_SIZE</stp>
        <stp>MAS</stp>
        <tr r="I292" s="1"/>
      </tp>
      <tp>
        <v>1</v>
        <stp/>
        <stp>ASK_SIZE</stp>
        <stp>MAC</stp>
        <tr r="I290" s="1"/>
      </tp>
      <tp>
        <v>1</v>
        <stp/>
        <stp>BID_SIZE</stp>
        <stp>WMT</stp>
        <tr r="H485" s="1"/>
      </tp>
      <tp>
        <v>5</v>
        <stp/>
        <stp>BID_SIZE</stp>
        <stp>WMB</stp>
        <tr r="H484" s="1"/>
      </tp>
      <tp>
        <v>0</v>
        <stp/>
        <stp>BID_SIZE</stp>
        <stp>WLP</stp>
        <tr r="H482" s="1"/>
      </tp>
      <tp>
        <v>2</v>
        <stp/>
        <stp>ASK_SIZE</stp>
        <stp>MCD</stp>
        <tr r="I294" s="1"/>
      </tp>
      <tp>
        <v>1</v>
        <stp/>
        <stp>ASK_SIZE</stp>
        <stp>MCO</stp>
        <tr r="I297" s="1"/>
      </tp>
      <tp>
        <v>1</v>
        <stp/>
        <stp>ASK_SIZE</stp>
        <stp>MCK</stp>
        <tr r="I296" s="1"/>
      </tp>
      <tp>
        <v>1</v>
        <stp/>
        <stp>ASK_SIZE</stp>
        <stp>MDT</stp>
        <tr r="I299" s="1"/>
      </tp>
      <tp>
        <v>3</v>
        <stp/>
        <stp>ASK_SIZE</stp>
        <stp>MET</stp>
        <tr r="I300" s="1"/>
      </tp>
      <tp>
        <v>31</v>
        <stp/>
        <stp>BID_SIZE</stp>
        <stp>WIN</stp>
        <tr r="H481" s="1"/>
      </tp>
      <tp>
        <v>1</v>
        <stp/>
        <stp>BID_SIZE</stp>
        <stp>WHR</stp>
        <tr r="H480" s="1"/>
      </tp>
      <tp>
        <v>1738299</v>
        <stp/>
        <stp>VOLUME</stp>
        <stp>PAYX</stp>
        <tr r="J350" s="1"/>
      </tp>
      <tp>
        <v>21811338</v>
        <stp/>
        <stp>VOLUME</stp>
        <stp>AAPL</stp>
        <tr r="J6" s="1"/>
      </tp>
      <tp>
        <v>1439367</v>
        <stp/>
        <stp>VOLUME</stp>
        <stp>FAST</stp>
        <tr r="J177" s="1"/>
      </tp>
      <tp>
        <v>2</v>
        <stp/>
        <stp>ASK_SIZE</stp>
        <stp>LYB</stp>
        <tr r="I287" s="1"/>
      </tp>
      <tp>
        <v>1</v>
        <stp/>
        <stp>BID_SIZE</stp>
        <stp>VTR</stp>
        <tr r="H472" s="1"/>
      </tp>
      <tp>
        <v>1</v>
        <stp/>
        <stp>ASK_SIZE</stp>
        <stp>LSI</stp>
        <tr r="I283" s="1"/>
      </tp>
      <tp>
        <v>0</v>
        <stp/>
        <stp>ASK_SIZE</stp>
        <stp>LTD</stp>
        <tr r="I284" s="1"/>
      </tp>
      <tp>
        <v>3</v>
        <stp/>
        <stp>ASK_SIZE</stp>
        <stp>LUV</stp>
        <tr r="I286" s="1"/>
      </tp>
      <tp>
        <v>2</v>
        <stp/>
        <stp>ASK_SIZE</stp>
        <stp>LUK</stp>
        <tr r="I285" s="1"/>
      </tp>
      <tp>
        <v>3</v>
        <stp/>
        <stp>BID_SIZE</stp>
        <stp>VFC</stp>
        <tr r="H466" s="1"/>
      </tp>
      <tp>
        <v>1</v>
        <stp/>
        <stp>ASK_SIZE</stp>
        <stp>LLY</stp>
        <tr r="I276" s="1"/>
      </tp>
      <tp>
        <v>1</v>
        <stp/>
        <stp>ASK_SIZE</stp>
        <stp>LLL</stp>
        <tr r="I274" s="1"/>
      </tp>
      <tp>
        <v>1</v>
        <stp/>
        <stp>ASK_SIZE</stp>
        <stp>LMT</stp>
        <tr r="I278" s="1"/>
      </tp>
      <tp>
        <v>1</v>
        <stp/>
        <stp>BID_SIZE</stp>
        <stp>VAR</stp>
        <tr r="H465" s="1"/>
      </tp>
      <tp>
        <v>1</v>
        <stp/>
        <stp>ASK_SIZE</stp>
        <stp>LNC</stp>
        <tr r="I279" s="1"/>
      </tp>
      <tp>
        <v>1</v>
        <stp/>
        <stp>ASK_SIZE</stp>
        <stp>LOW</stp>
        <tr r="I281" s="1"/>
      </tp>
      <tp>
        <v>1</v>
        <stp/>
        <stp>BID_SIZE</stp>
        <stp>VNO</stp>
        <tr r="H470" s="1"/>
      </tp>
      <tp>
        <v>2</v>
        <stp/>
        <stp>BID_SIZE</stp>
        <stp>VMC</stp>
        <tr r="H469" s="1"/>
      </tp>
      <tp>
        <v>6</v>
        <stp/>
        <stp>BID_SIZE</stp>
        <stp>VLO</stp>
        <tr r="H468" s="1"/>
      </tp>
      <tp>
        <v>1</v>
        <stp/>
        <stp>ASK_SIZE</stp>
        <stp>LEG</stp>
        <tr r="I270" s="1"/>
      </tp>
      <tp>
        <v>1</v>
        <stp/>
        <stp>ASK_SIZE</stp>
        <stp>LEN</stp>
        <tr r="I271" s="1"/>
      </tp>
      <tp>
        <v>6302619</v>
        <stp/>
        <stp>VOLUME</stp>
        <stp>SBUX</stp>
        <tr r="J404" s="1"/>
      </tp>
      <tp>
        <v>6070354</v>
        <stp/>
        <stp>VOLUME</stp>
        <stp>HBAN</stp>
        <tr r="J215" s="1"/>
      </tp>
      <tp>
        <v>7519420</v>
        <stp/>
        <stp>VOLUME</stp>
        <stp>EBAY</stp>
        <tr r="J155" s="1"/>
      </tp>
      <tp>
        <v>1579532</v>
        <stp/>
        <stp>VOLUME</stp>
        <stp>PBCT</stp>
        <tr r="J351" s="1"/>
      </tp>
      <tp>
        <v>3258991</v>
        <stp/>
        <stp>VOLUME</stp>
        <stp>ABBV</stp>
        <tr r="J7" s="1"/>
      </tp>
      <tp>
        <v>4801296</v>
        <stp/>
        <stp>VOLUME</stp>
        <stp>BBBY</stp>
        <tr r="J56" s="1"/>
      </tp>
      <tp>
        <v>1</v>
        <stp/>
        <stp>ASK_SIZE</stp>
        <stp>OXY</stp>
        <tr r="I349" s="1"/>
      </tp>
      <tp>
        <v>1</v>
        <stp/>
        <stp>BID_SIZE</stp>
        <stp>UTX</stp>
        <tr r="H463" s="1"/>
      </tp>
      <tp>
        <v>1</v>
        <stp/>
        <stp>BID_SIZE</stp>
        <stp>USB</stp>
        <tr r="H462" s="1"/>
      </tp>
      <tp>
        <v>50</v>
        <stp/>
        <stp>BID_SIZE</stp>
        <stp>UPS</stp>
        <tr r="H460" s="1"/>
      </tp>
      <tp>
        <v>6</v>
        <stp/>
        <stp>ASK_SIZE</stp>
        <stp>OKE</stp>
        <tr r="I345" s="1"/>
      </tp>
      <tp>
        <v>1</v>
        <stp/>
        <stp>ASK_SIZE</stp>
        <stp>OMC</stp>
        <tr r="I346" s="1"/>
      </tp>
      <tp>
        <v>2</v>
        <stp/>
        <stp>BID_SIZE</stp>
        <stp>UNP</stp>
        <tr r="H459" s="1"/>
      </tp>
      <tp>
        <v>2</v>
        <stp/>
        <stp>BID_SIZE</stp>
        <stp>UNM</stp>
        <tr r="H458" s="1"/>
      </tp>
      <tp>
        <v>1</v>
        <stp/>
        <stp>BID_SIZE</stp>
        <stp>UNH</stp>
        <tr r="H457" s="1"/>
      </tp>
      <tp>
        <v>501751</v>
        <stp/>
        <stp>VOLUME</stp>
        <stp>PCLN</stp>
        <tr r="J356" s="1"/>
      </tp>
      <tp>
        <v>12454464</v>
        <stp/>
        <stp>VOLUME</stp>
        <stp>QCOM</stp>
        <tr r="J386" s="1"/>
      </tp>
      <tp>
        <v>2097014</v>
        <stp/>
        <stp>VOLUME</stp>
        <stp>MCHP</stp>
        <tr r="J295" s="1"/>
      </tp>
      <tp>
        <v>4264762</v>
        <stp/>
        <stp>VOLUME</stp>
        <stp>SCHW</stp>
        <tr r="J406" s="1"/>
      </tp>
      <tp>
        <v>5372795</v>
        <stp/>
        <stp>VOLUME</stp>
        <stp>PCAR</stp>
        <tr r="J353" s="1"/>
      </tp>
      <tp>
        <v>0</v>
        <stp/>
        <stp>VOLUME</stp>
        <stp>HCBK</stp>
        <tr r="J216" s="1"/>
      </tp>
      <tp>
        <v>15</v>
        <stp/>
        <stp>BID_SIZE</stp>
        <stp>TWX</stp>
        <tr r="H453" s="1"/>
      </tp>
      <tp>
        <v>0</v>
        <stp/>
        <stp>BID_SIZE</stp>
        <stp>TWC</stp>
        <tr r="H452" s="1"/>
      </tp>
      <tp>
        <v>0</v>
        <stp/>
        <stp>ASK_SIZE</stp>
        <stp>NYX</stp>
        <tr r="I343" s="1"/>
      </tp>
      <tp>
        <v>1</v>
        <stp/>
        <stp>BID_SIZE</stp>
        <stp>TSS</stp>
        <tr r="H451" s="1"/>
      </tp>
      <tp>
        <v>2</v>
        <stp/>
        <stp>BID_SIZE</stp>
        <stp>TSN</stp>
        <tr r="H449" s="1"/>
      </tp>
      <tp>
        <v>0</v>
        <stp/>
        <stp>BID_SIZE</stp>
        <stp>TSO</stp>
        <tr r="H450" s="1"/>
      </tp>
      <tp>
        <v>1</v>
        <stp/>
        <stp>BID_SIZE</stp>
        <stp>TRV</stp>
        <tr r="H448" s="1"/>
      </tp>
      <tp>
        <v>2</v>
        <stp/>
        <stp>ASK_SIZE</stp>
        <stp>NRG</stp>
        <tr r="I334" s="1"/>
      </tp>
      <tp>
        <v>1</v>
        <stp/>
        <stp>ASK_SIZE</stp>
        <stp>NSC</stp>
        <tr r="I335" s="1"/>
      </tp>
      <tp>
        <v>20</v>
        <stp/>
        <stp>ASK_SIZE</stp>
        <stp>NUE</stp>
        <tr r="I339" s="1"/>
      </tp>
      <tp>
        <v>0</v>
        <stp/>
        <stp>BID_SIZE</stp>
        <stp>TYC</stp>
        <tr r="H456" s="1"/>
      </tp>
      <tp>
        <v>3</v>
        <stp/>
        <stp>BID_SIZE</stp>
        <stp>TXT</stp>
        <tr r="H455" s="1"/>
      </tp>
      <tp>
        <v>1</v>
        <stp/>
        <stp>ASK_SIZE</stp>
        <stp>NWL</stp>
        <tr r="I341" s="1"/>
      </tp>
      <tp>
        <v>2</v>
        <stp/>
        <stp>BID_SIZE</stp>
        <stp>TXN</stp>
        <tr r="H454" s="1"/>
      </tp>
      <tp>
        <v>4</v>
        <stp/>
        <stp>BID_SIZE</stp>
        <stp>TGT</stp>
        <tr r="H440" s="1"/>
      </tp>
      <tp>
        <v>5</v>
        <stp/>
        <stp>BID_SIZE</stp>
        <stp>TER</stp>
        <tr r="H439" s="1"/>
      </tp>
      <tp>
        <v>0</v>
        <stp/>
        <stp>BID_SIZE</stp>
        <stp>TEG</stp>
        <tr r="H437" s="1"/>
      </tp>
      <tp>
        <v>10</v>
        <stp/>
        <stp>BID_SIZE</stp>
        <stp>TEL</stp>
        <tr r="H438" s="1"/>
      </tp>
      <tp>
        <v>9</v>
        <stp/>
        <stp>ASK_SIZE</stp>
        <stp>NKE</stp>
        <tr r="I331" s="1"/>
      </tp>
      <tp>
        <v>6</v>
        <stp/>
        <stp>BID_SIZE</stp>
        <stp>TDC</stp>
        <tr r="H435" s="1"/>
      </tp>
      <tp>
        <v>1</v>
        <stp/>
        <stp>BID_SIZE</stp>
        <stp>TAP</stp>
        <tr r="H434" s="1"/>
      </tp>
      <tp>
        <v>1</v>
        <stp/>
        <stp>ASK_SIZE</stp>
        <stp>NOV</stp>
        <tr r="I333" s="1"/>
      </tp>
      <tp>
        <v>1</v>
        <stp/>
        <stp>ASK_SIZE</stp>
        <stp>NOC</stp>
        <tr r="I332" s="1"/>
      </tp>
      <tp>
        <v>35</v>
        <stp/>
        <stp>ASK_SIZE</stp>
        <stp>NBR</stp>
        <tr r="I323" s="1"/>
      </tp>
      <tp>
        <v>1</v>
        <stp/>
        <stp>ASK_SIZE</stp>
        <stp>NBL</stp>
        <tr r="I322" s="1"/>
      </tp>
      <tp>
        <v>1</v>
        <stp/>
        <stp>BID_SIZE</stp>
        <stp>TMO</stp>
        <tr r="H445" s="1"/>
      </tp>
      <tp>
        <v>1</v>
        <stp/>
        <stp>BID_SIZE</stp>
        <stp>TMK</stp>
        <tr r="H444" s="1"/>
      </tp>
      <tp>
        <v>6</v>
        <stp/>
        <stp>BID_SIZE</stp>
        <stp>TJX</stp>
        <tr r="H443" s="1"/>
      </tp>
      <tp>
        <v>1</v>
        <stp/>
        <stp>ASK_SIZE</stp>
        <stp>NEE</stp>
        <tr r="I326" s="1"/>
      </tp>
      <tp>
        <v>1</v>
        <stp/>
        <stp>ASK_SIZE</stp>
        <stp>NEM</stp>
        <tr r="I327" s="1"/>
      </tp>
      <tp>
        <v>2</v>
        <stp/>
        <stp>ASK_SIZE</stp>
        <stp>NFX</stp>
        <tr r="I329" s="1"/>
      </tp>
      <tp>
        <v>5</v>
        <stp/>
        <stp>BID_SIZE</stp>
        <stp>TIF</stp>
        <tr r="H442" s="1"/>
      </tp>
      <tp>
        <v>4</v>
        <stp/>
        <stp>BID_SIZE</stp>
        <stp>THC</stp>
        <tr r="H441" s="1"/>
      </tp>
      <tp>
        <v>0.06</v>
        <stp/>
        <stp>NET_CHANGE</stp>
        <stp>YUM</stp>
        <tr r="E501" s="1"/>
      </tp>
      <tp t="s">
        <v>Range Bound</v>
        <stp/>
        <stp>STRENGTH_METER</stp>
        <stp>EXPD</stp>
        <tr r="C174" s="1"/>
      </tp>
      <tp t="s">
        <v>Downtrend</v>
        <stp/>
        <stp>STRENGTH_METER</stp>
        <stp>EXPE</stp>
        <tr r="C175" s="1"/>
      </tp>
      <tp>
        <v>1459721</v>
        <stp/>
        <stp>VOLUME</stp>
        <stp>ADSK</stp>
        <tr r="J17" s="1"/>
      </tp>
      <tp>
        <v>0</v>
        <stp/>
        <stp>VOLUME</stp>
        <stp>JDSU</stp>
        <tr r="J251" s="1"/>
      </tp>
      <tp>
        <v>9167343</v>
        <stp/>
        <stp>VOLUME</stp>
        <stp>MDLZ</stp>
        <tr r="J298" s="1"/>
      </tp>
      <tp>
        <v>1043513</v>
        <stp/>
        <stp>VOLUME</stp>
        <stp>NDAQ</stp>
        <tr r="J324" s="1"/>
      </tp>
      <tp>
        <v>2169935</v>
        <stp/>
        <stp>VOLUME</stp>
        <stp>PDCO</stp>
        <tr r="J358" s="1"/>
      </tp>
      <tp>
        <v>1452443</v>
        <stp/>
        <stp>VOLUME</stp>
        <stp>ADBE</stp>
        <tr r="J13" s="1"/>
      </tp>
      <tp>
        <v>0</v>
        <stp/>
        <stp>BID_SIZE</stp>
        <stp>SWY</stp>
        <tr r="H429" s="1"/>
      </tp>
      <tp>
        <v>7</v>
        <stp/>
        <stp>BID_SIZE</stp>
        <stp>SWN</stp>
        <tr r="H428" s="1"/>
      </tp>
      <tp>
        <v>1</v>
        <stp/>
        <stp>BID_SIZE</stp>
        <stp>SWK</stp>
        <tr r="H427" s="1"/>
      </tp>
      <tp>
        <v>1</v>
        <stp/>
        <stp>BID_SIZE</stp>
        <stp>STT</stp>
        <tr r="H424" s="1"/>
      </tp>
      <tp>
        <v>1</v>
        <stp/>
        <stp>BID_SIZE</stp>
        <stp>STX</stp>
        <tr r="H425" s="1"/>
      </tp>
      <tp>
        <v>1</v>
        <stp/>
        <stp>BID_SIZE</stp>
        <stp>STZ</stp>
        <tr r="H426" s="1"/>
      </tp>
      <tp>
        <v>1</v>
        <stp/>
        <stp>BID_SIZE</stp>
        <stp>STI</stp>
        <tr r="H422" s="1"/>
      </tp>
      <tp>
        <v>0</v>
        <stp/>
        <stp>BID_SIZE</stp>
        <stp>STJ</stp>
        <tr r="H423" s="1"/>
      </tp>
      <tp>
        <v>1</v>
        <stp/>
        <stp>BID_SIZE</stp>
        <stp>SRE</stp>
        <tr r="H421" s="1"/>
      </tp>
      <tp>
        <v>5</v>
        <stp/>
        <stp>BID_SIZE</stp>
        <stp>SPG</stp>
        <tr r="H418" s="1"/>
      </tp>
      <tp>
        <v>1</v>
        <stp/>
        <stp>ASK_SIZE</stp>
        <stp>IPG</stp>
        <tr r="I242" s="1"/>
      </tp>
      <tp>
        <v>27</v>
        <stp/>
        <stp>ASK_SIZE</stp>
        <stp>IRM</stp>
        <tr r="I244" s="1"/>
      </tp>
      <tp>
        <v>1</v>
        <stp/>
        <stp>ASK_SIZE</stp>
        <stp>ITW</stp>
        <tr r="I246" s="1"/>
      </tp>
      <tp>
        <v>4</v>
        <stp/>
        <stp>BID_SIZE</stp>
        <stp>SYY</stp>
        <tr r="H432" s="1"/>
      </tp>
      <tp>
        <v>6</v>
        <stp/>
        <stp>ASK_SIZE</stp>
        <stp>IVZ</stp>
        <tr r="I247" s="1"/>
      </tp>
      <tp>
        <v>1</v>
        <stp/>
        <stp>BID_SIZE</stp>
        <stp>SYK</stp>
        <tr r="H430" s="1"/>
      </tp>
      <tp>
        <v>1</v>
        <stp/>
        <stp>BID_SIZE</stp>
        <stp>SEE</stp>
        <tr r="H408" s="1"/>
      </tp>
      <tp>
        <v>1</v>
        <stp/>
        <stp>BID_SIZE</stp>
        <stp>SCG</stp>
        <tr r="H405" s="1"/>
      </tp>
      <tp>
        <v>0</v>
        <stp/>
        <stp>BID_SIZE</stp>
        <stp>SAI</stp>
        <tr r="H403" s="1"/>
      </tp>
      <tp>
        <v>1</v>
        <stp/>
        <stp>BID_SIZE</stp>
        <stp>SNA</stp>
        <tr r="H414" s="1"/>
      </tp>
      <tp>
        <v>1</v>
        <stp/>
        <stp>BID_SIZE</stp>
        <stp>SNI</stp>
        <tr r="H416" s="1"/>
      </tp>
      <tp>
        <v>7</v>
        <stp/>
        <stp>ASK_SIZE</stp>
        <stp>IBM</stp>
        <tr r="I235" s="1"/>
      </tp>
      <tp>
        <v>3</v>
        <stp/>
        <stp>ASK_SIZE</stp>
        <stp>ICE</stp>
        <tr r="I236" s="1"/>
      </tp>
      <tp>
        <v>1</v>
        <stp/>
        <stp>BID_SIZE</stp>
        <stp>SLB</stp>
        <tr r="H412" s="1"/>
      </tp>
      <tp>
        <v>4</v>
        <stp/>
        <stp>BID_SIZE</stp>
        <stp>SLM</stp>
        <tr r="H413" s="1"/>
      </tp>
      <tp>
        <v>2</v>
        <stp/>
        <stp>BID_SIZE</stp>
        <stp>SJM</stp>
        <tr r="H411" s="1"/>
      </tp>
      <tp>
        <v>1</v>
        <stp/>
        <stp>ASK_SIZE</stp>
        <stp>IFF</stp>
        <tr r="I237" s="1"/>
      </tp>
      <tp>
        <v>1</v>
        <stp/>
        <stp>ASK_SIZE</stp>
        <stp>IGT</stp>
        <tr r="I238" s="1"/>
      </tp>
      <tp>
        <v>1</v>
        <stp/>
        <stp>BID_SIZE</stp>
        <stp>SHW</stp>
        <tr r="H409" s="1"/>
      </tp>
      <tp>
        <v>0.1</v>
        <stp/>
        <stp>NET_CHANGE</stp>
        <stp>XRX</stp>
        <tr r="E498" s="1"/>
      </tp>
      <tp>
        <v>-0.06</v>
        <stp/>
        <stp>NET_CHANGE</stp>
        <stp>XYL</stp>
        <tr r="E499" s="1"/>
      </tp>
      <tp>
        <v>-0.28999999999999998</v>
        <stp/>
        <stp>NET_CHANGE</stp>
        <stp>XEL</stp>
        <tr r="E493" s="1"/>
      </tp>
      <tp>
        <v>-0.32</v>
        <stp/>
        <stp>NET_CHANGE</stp>
        <stp>XOM</stp>
        <tr r="E496" s="1"/>
      </tp>
      <tp t="s">
        <v>N/A</v>
        <stp/>
        <stp>VOLUME</stp>
        <stp>PETM</stp>
        <tr r="J361" s="1"/>
      </tp>
      <tp>
        <v>1654815</v>
        <stp/>
        <stp>VOLUME</stp>
        <stp>CERN</stp>
        <tr r="J91" s="1"/>
      </tp>
      <tp>
        <v>5835635</v>
        <stp/>
        <stp>VOLUME</stp>
        <stp>CELG</stp>
        <tr r="J90" s="1"/>
      </tp>
      <tp t="s">
        <v>N/A</v>
        <stp/>
        <stp>VOLUME</stp>
        <stp>DELL</stp>
        <tr r="J131" s="1"/>
      </tp>
      <tp t="s">
        <v>Range Bound</v>
        <stp/>
        <stp>STRENGTH_METER</stp>
        <stp>WYNN</stp>
        <tr r="C491" s="1"/>
      </tp>
      <tp t="s">
        <v>Downtrend</v>
        <stp/>
        <stp>STRENGTH_METER</stp>
        <stp>SYMC</stp>
        <tr r="C431" s="1"/>
      </tp>
      <tp>
        <v>628179</v>
        <stp/>
        <stp>VOLUME</stp>
        <stp>REGN</stp>
        <tr r="J391" s="1"/>
      </tp>
      <tp t="s">
        <v>N/A</v>
        <stp/>
        <stp>VOLUME</stp>
        <stp>BEAM</stp>
        <tr r="J61" s="1"/>
      </tp>
      <tp>
        <v>7</v>
        <stp/>
        <stp>BID_SIZE</stp>
        <stp>RTN</stp>
        <tr r="H401" s="1"/>
      </tp>
      <tp>
        <v>1</v>
        <stp/>
        <stp>BID_SIZE</stp>
        <stp>RSG</stp>
        <tr r="H400" s="1"/>
      </tp>
      <tp>
        <v>1</v>
        <stp/>
        <stp>BID_SIZE</stp>
        <stp>RRC</stp>
        <tr r="H399" s="1"/>
      </tp>
      <tp>
        <v>2</v>
        <stp/>
        <stp>ASK_SIZE</stp>
        <stp>HPQ</stp>
        <tr r="I227" s="1"/>
      </tp>
      <tp>
        <v>1</v>
        <stp/>
        <stp>ASK_SIZE</stp>
        <stp>HRS</stp>
        <tr r="I230" s="1"/>
      </tp>
      <tp>
        <v>3</v>
        <stp/>
        <stp>ASK_SIZE</stp>
        <stp>HRB</stp>
        <tr r="I228" s="1"/>
      </tp>
      <tp>
        <v>14</v>
        <stp/>
        <stp>ASK_SIZE</stp>
        <stp>HRL</stp>
        <tr r="I229" s="1"/>
      </tp>
      <tp>
        <v>8</v>
        <stp/>
        <stp>ASK_SIZE</stp>
        <stp>HST</stp>
        <tr r="I232" s="1"/>
      </tp>
      <tp>
        <v>0</v>
        <stp/>
        <stp>ASK_SIZE</stp>
        <stp>HSP</stp>
        <tr r="I231" s="1"/>
      </tp>
      <tp>
        <v>3</v>
        <stp/>
        <stp>ASK_SIZE</stp>
        <stp>HSY</stp>
        <tr r="I233" s="1"/>
      </tp>
      <tp>
        <v>1</v>
        <stp/>
        <stp>ASK_SIZE</stp>
        <stp>HUM</stp>
        <tr r="I234" s="1"/>
      </tp>
      <tp>
        <v>1</v>
        <stp/>
        <stp>ASK_SIZE</stp>
        <stp>HIG</stp>
        <tr r="I221" s="1"/>
      </tp>
      <tp>
        <v>0</v>
        <stp/>
        <stp>BID_SIZE</stp>
        <stp>RDC</stp>
        <tr r="H390" s="1"/>
      </tp>
      <tp>
        <v>0</v>
        <stp/>
        <stp>ASK_SIZE</stp>
        <stp>HNZ</stp>
        <tr r="I222" s="1"/>
      </tp>
      <tp>
        <v>0</v>
        <stp/>
        <stp>BID_SIZE</stp>
        <stp>RAI</stp>
        <tr r="H389" s="1"/>
      </tp>
      <tp>
        <v>0</v>
        <stp/>
        <stp>ASK_SIZE</stp>
        <stp>HOT</stp>
        <tr r="I225" s="1"/>
      </tp>
      <tp>
        <v>4</v>
        <stp/>
        <stp>ASK_SIZE</stp>
        <stp>HOG</stp>
        <tr r="I223" s="1"/>
      </tp>
      <tp>
        <v>1</v>
        <stp/>
        <stp>ASK_SIZE</stp>
        <stp>HON</stp>
        <tr r="I224" s="1"/>
      </tp>
      <tp>
        <v>1</v>
        <stp/>
        <stp>BID_SIZE</stp>
        <stp>ROP</stp>
        <tr r="H397" s="1"/>
      </tp>
      <tp>
        <v>1</v>
        <stp/>
        <stp>BID_SIZE</stp>
        <stp>ROK</stp>
        <tr r="H396" s="1"/>
      </tp>
      <tp>
        <v>0</v>
        <stp/>
        <stp>ASK_SIZE</stp>
        <stp>HAR</stp>
        <tr r="I213" s="1"/>
      </tp>
      <tp>
        <v>3</v>
        <stp/>
        <stp>ASK_SIZE</stp>
        <stp>HAS</stp>
        <tr r="I214" s="1"/>
      </tp>
      <tp>
        <v>2</v>
        <stp/>
        <stp>ASK_SIZE</stp>
        <stp>HAL</stp>
        <tr r="I212" s="1"/>
      </tp>
      <tp>
        <v>6</v>
        <stp/>
        <stp>ASK_SIZE</stp>
        <stp>HCP</stp>
        <tr r="I218" s="1"/>
      </tp>
      <tp>
        <v>1</v>
        <stp/>
        <stp>ASK_SIZE</stp>
        <stp>HCN</stp>
        <tr r="I217" s="1"/>
      </tp>
      <tp>
        <v>1</v>
        <stp/>
        <stp>ASK_SIZE</stp>
        <stp>HES</stp>
        <tr r="I220" s="1"/>
      </tp>
      <tp>
        <v>2</v>
        <stp/>
        <stp>BID_SIZE</stp>
        <stp>RHT</stp>
        <tr r="H394" s="1"/>
      </tp>
      <tp>
        <v>0</v>
        <stp/>
        <stp>BID_SIZE</stp>
        <stp>RHI</stp>
        <tr r="H393" s="1"/>
      </tp>
      <tp t="s">
        <v>N/A</v>
        <stp/>
        <stp>VOLUME</stp>
        <stp>BF-B</stp>
        <tr r="J63" s="1"/>
      </tp>
      <tp>
        <v>3765206</v>
        <stp/>
        <stp>VOLUME</stp>
        <stp>NFLX</stp>
        <tr r="J328" s="1"/>
      </tp>
      <tp>
        <v>573675</v>
        <stp/>
        <stp>VOLUME</stp>
        <stp>FFIV</stp>
        <tr r="J182" s="1"/>
      </tp>
      <tp>
        <v>30</v>
        <stp/>
        <stp>ASK_SIZE</stp>
        <stp>KSS</stp>
        <tr r="I268" s="1"/>
      </tp>
      <tp>
        <v>1</v>
        <stp/>
        <stp>ASK_SIZE</stp>
        <stp>KIM</stp>
        <tr r="I260" s="1"/>
      </tp>
      <tp>
        <v>5</v>
        <stp/>
        <stp>BID_SIZE</stp>
        <stp>QEP</stp>
        <tr r="H387" s="1"/>
      </tp>
      <tp>
        <v>10</v>
        <stp/>
        <stp>ASK_SIZE</stp>
        <stp>KMX</stp>
        <tr r="I264" s="1"/>
      </tp>
      <tp>
        <v>1</v>
        <stp/>
        <stp>ASK_SIZE</stp>
        <stp>KMB</stp>
        <tr r="I262" s="1"/>
      </tp>
      <tp>
        <v>1</v>
        <stp/>
        <stp>ASK_SIZE</stp>
        <stp>KMI</stp>
        <tr r="I263" s="1"/>
      </tp>
      <tp>
        <v>1</v>
        <stp/>
        <stp>ASK_SIZE</stp>
        <stp>KEY</stp>
        <tr r="I259" s="1"/>
      </tp>
      <tp>
        <v>0</v>
        <stp/>
        <stp>NET_CHANGE</stp>
        <stp>ZMH</stp>
        <tr r="E503" s="1"/>
      </tp>
      <tp>
        <v>3</v>
        <stp/>
        <stp>BID_SIZE</stp>
        <stp>DISCA</stp>
        <tr r="H139" s="1"/>
      </tp>
      <tp>
        <v>3</v>
        <stp/>
        <stp>ASK_SIZE</stp>
        <stp>DISCA</stp>
        <tr r="I139" s="1"/>
      </tp>
      <tp>
        <v>2</v>
        <stp/>
        <stp>BID_SIZE</stp>
        <stp>PWR</stp>
        <tr r="H383" s="1"/>
      </tp>
      <tp>
        <v>4</v>
        <stp/>
        <stp>BID_SIZE</stp>
        <stp>PVH</stp>
        <tr r="H382" s="1"/>
      </tp>
      <tp>
        <v>5</v>
        <stp/>
        <stp>BID_SIZE</stp>
        <stp>PSX</stp>
        <tr r="H381" s="1"/>
      </tp>
      <tp>
        <v>1</v>
        <stp/>
        <stp>BID_SIZE</stp>
        <stp>PSA</stp>
        <tr r="H380" s="1"/>
      </tp>
      <tp>
        <v>1</v>
        <stp/>
        <stp>BID_SIZE</stp>
        <stp>PRU</stp>
        <tr r="H379" s="1"/>
      </tp>
      <tp>
        <v>1</v>
        <stp/>
        <stp>BID_SIZE</stp>
        <stp>PPG</stp>
        <tr r="H376" s="1"/>
      </tp>
      <tp>
        <v>1</v>
        <stp/>
        <stp>BID_SIZE</stp>
        <stp>PPL</stp>
        <tr r="H377" s="1"/>
      </tp>
      <tp>
        <v>3</v>
        <stp/>
        <stp>ASK_SIZE</stp>
        <stp>JPM</stp>
        <tr r="I256" s="1"/>
      </tp>
      <tp>
        <v>1</v>
        <stp/>
        <stp>BID_SIZE</stp>
        <stp>PXD</stp>
        <tr r="H385" s="1"/>
      </tp>
      <tp>
        <v>1</v>
        <stp/>
        <stp>ASK_SIZE</stp>
        <stp>JWN</stp>
        <tr r="I257" s="1"/>
      </tp>
      <tp>
        <v>1</v>
        <stp/>
        <stp>BID_SIZE</stp>
        <stp>PGR</stp>
        <tr r="H365" s="1"/>
      </tp>
      <tp>
        <v>1</v>
        <stp/>
        <stp>BID_SIZE</stp>
        <stp>PFE</stp>
        <tr r="H362" s="1"/>
      </tp>
      <tp>
        <v>1</v>
        <stp/>
        <stp>BID_SIZE</stp>
        <stp>PFG</stp>
        <tr r="H363" s="1"/>
      </tp>
      <tp>
        <v>1</v>
        <stp/>
        <stp>BID_SIZE</stp>
        <stp>PEP</stp>
        <tr r="H360" s="1"/>
      </tp>
      <tp>
        <v>1</v>
        <stp/>
        <stp>BID_SIZE</stp>
        <stp>PEG</stp>
        <tr r="H359" s="1"/>
      </tp>
      <tp>
        <v>0</v>
        <stp/>
        <stp>BID_SIZE</stp>
        <stp>PCP</stp>
        <tr r="H357" s="1"/>
      </tp>
      <tp>
        <v>2</v>
        <stp/>
        <stp>BID_SIZE</stp>
        <stp>PCG</stp>
        <tr r="H354" s="1"/>
      </tp>
      <tp>
        <v>0</v>
        <stp/>
        <stp>BID_SIZE</stp>
        <stp>PCL</stp>
        <tr r="H355" s="1"/>
      </tp>
      <tp>
        <v>1</v>
        <stp/>
        <stp>BID_SIZE</stp>
        <stp>PBI</stp>
        <tr r="H352" s="1"/>
      </tp>
      <tp>
        <v>50</v>
        <stp/>
        <stp>ASK_SIZE</stp>
        <stp>JNJ</stp>
        <tr r="I253" s="1"/>
      </tp>
      <tp>
        <v>0</v>
        <stp/>
        <stp>ASK_SIZE</stp>
        <stp>JOY</stp>
        <tr r="I255" s="1"/>
      </tp>
      <tp>
        <v>0</v>
        <stp/>
        <stp>BID_SIZE</stp>
        <stp>POM</stp>
        <tr r="H375" s="1"/>
      </tp>
      <tp>
        <v>1</v>
        <stp/>
        <stp>BID_SIZE</stp>
        <stp>PNW</stp>
        <tr r="H374" s="1"/>
      </tp>
      <tp>
        <v>1</v>
        <stp/>
        <stp>BID_SIZE</stp>
        <stp>PNR</stp>
        <tr r="H373" s="1"/>
      </tp>
      <tp>
        <v>2</v>
        <stp/>
        <stp>BID_SIZE</stp>
        <stp>PNC</stp>
        <tr r="H372" s="1"/>
      </tp>
      <tp>
        <v>10</v>
        <stp/>
        <stp>ASK_SIZE</stp>
        <stp>JBL</stp>
        <tr r="I248" s="1"/>
      </tp>
      <tp>
        <v>20</v>
        <stp/>
        <stp>ASK_SIZE</stp>
        <stp>JCP</stp>
        <tr r="I250" s="1"/>
      </tp>
      <tp>
        <v>3</v>
        <stp/>
        <stp>BID_SIZE</stp>
        <stp>PLD</stp>
        <tr r="H369" s="1"/>
      </tp>
      <tp>
        <v>0</v>
        <stp/>
        <stp>BID_SIZE</stp>
        <stp>PLL</stp>
        <tr r="H370" s="1"/>
      </tp>
      <tp>
        <v>1</v>
        <stp/>
        <stp>ASK_SIZE</stp>
        <stp>JCI</stp>
        <tr r="I249" s="1"/>
      </tp>
      <tp>
        <v>0</v>
        <stp/>
        <stp>BID_SIZE</stp>
        <stp>PKI</stp>
        <tr r="H368" s="1"/>
      </tp>
      <tp>
        <v>1</v>
        <stp/>
        <stp>ASK_SIZE</stp>
        <stp>JEC</stp>
        <tr r="I252" s="1"/>
      </tp>
      <tp>
        <v>1</v>
        <stp/>
        <stp>BID_SIZE</stp>
        <stp>PHM</stp>
        <tr r="H367" s="1"/>
      </tp>
      <tp>
        <v>-0.76</v>
        <stp/>
        <stp>NET_CHANGE</stp>
        <stp>UPS</stp>
        <tr r="E460" s="1"/>
      </tp>
      <tp>
        <v>7.0000000000000007E-2</v>
        <stp/>
        <stp>NET_CHANGE</stp>
        <stp>USB</stp>
        <tr r="E462" s="1"/>
      </tp>
      <tp>
        <v>-1.36</v>
        <stp/>
        <stp>NET_CHANGE</stp>
        <stp>UTX</stp>
        <tr r="E463" s="1"/>
      </tp>
      <tp>
        <v>-0.94</v>
        <stp/>
        <stp>NET_CHANGE</stp>
        <stp>UNP</stp>
        <tr r="E459" s="1"/>
      </tp>
      <tp>
        <v>0.21</v>
        <stp/>
        <stp>NET_CHANGE</stp>
        <stp>UNM</stp>
        <tr r="E458" s="1"/>
      </tp>
      <tp>
        <v>-1.23</v>
        <stp/>
        <stp>NET_CHANGE</stp>
        <stp>UNH</stp>
        <tr r="E457" s="1"/>
      </tp>
      <tp t="s">
        <v>Range Bound</v>
        <stp/>
        <stp>STRENGTH_METER</stp>
        <stp>DISCA</stp>
        <tr r="C139" s="1"/>
      </tp>
      <tp t="s">
        <v>Range Bound</v>
        <stp/>
        <stp>STRENGTH_METER</stp>
        <stp>CTXS</stp>
        <tr r="C124" s="1"/>
      </tp>
      <tp t="s">
        <v>Range Bound</v>
        <stp/>
        <stp>STRENGTH_METER</stp>
        <stp>CTSH</stp>
        <tr r="C123" s="1"/>
      </tp>
      <tp t="s">
        <v>Range Bound</v>
        <stp/>
        <stp>STRENGTH_METER</stp>
        <stp>NTRS</stp>
        <tr r="C337" s="1"/>
      </tp>
      <tp>
        <v>2565417</v>
        <stp/>
        <stp>VOLUME</stp>
        <stp>CHRW</stp>
        <tr r="J95" s="1"/>
      </tp>
      <tp>
        <v>0</v>
        <stp/>
        <stp>VOLUME</stp>
        <stp>YHOO</stp>
        <tr r="J500" s="1"/>
      </tp>
      <tp t="s">
        <v>Range Bound</v>
        <stp/>
        <stp>STRENGTH_METER</stp>
        <stp>CTAS</stp>
        <tr r="C121" s="1"/>
      </tp>
      <tp t="s">
        <v>Uptrend</v>
        <stp/>
        <stp>STRENGTH_METER</stp>
        <stp>NTAP</stp>
        <tr r="C336" s="1"/>
      </tp>
      <tp t="s">
        <v>Range Bound</v>
        <stp/>
        <stp>STRENGTH_METER</stp>
        <stp>ETFC</stp>
        <tr r="C169" s="1"/>
      </tp>
      <tp>
        <v>1</v>
        <stp/>
        <stp>ASK_SIZE</stp>
        <stp>EXC</stp>
        <tr r="I173" s="1"/>
      </tp>
      <tp>
        <v>6</v>
        <stp/>
        <stp>ASK_SIZE</stp>
        <stp>EQT</stp>
        <tr r="I166" s="1"/>
      </tp>
      <tp>
        <v>1</v>
        <stp/>
        <stp>ASK_SIZE</stp>
        <stp>EQR</stp>
        <tr r="I165" s="1"/>
      </tp>
      <tp>
        <v>30</v>
        <stp/>
        <stp>ASK_SIZE</stp>
        <stp>ESV</stp>
        <tr r="I168" s="1"/>
      </tp>
      <tp>
        <v>1</v>
        <stp/>
        <stp>ASK_SIZE</stp>
        <stp>ETR</stp>
        <tr r="I171" s="1"/>
      </tp>
      <tp>
        <v>4</v>
        <stp/>
        <stp>ASK_SIZE</stp>
        <stp>ETN</stp>
        <tr r="I170" s="1"/>
      </tp>
      <tp>
        <v>1</v>
        <stp/>
        <stp>ASK_SIZE</stp>
        <stp>EIX</stp>
        <tr r="I159" s="1"/>
      </tp>
      <tp>
        <v>2</v>
        <stp/>
        <stp>ASK_SIZE</stp>
        <stp>EMR</stp>
        <tr r="I163" s="1"/>
      </tp>
      <tp>
        <v>0</v>
        <stp/>
        <stp>ASK_SIZE</stp>
        <stp>EMC</stp>
        <tr r="I161" s="1"/>
      </tp>
      <tp>
        <v>1</v>
        <stp/>
        <stp>ASK_SIZE</stp>
        <stp>EMN</stp>
        <tr r="I162" s="1"/>
      </tp>
      <tp>
        <v>1</v>
        <stp/>
        <stp>ASK_SIZE</stp>
        <stp>EOG</stp>
        <tr r="I164" s="1"/>
      </tp>
      <tp>
        <v>0</v>
        <stp/>
        <stp>ASK_SIZE</stp>
        <stp>ECL</stp>
        <tr r="I156" s="1"/>
      </tp>
      <tp>
        <v>2</v>
        <stp/>
        <stp>ASK_SIZE</stp>
        <stp>EFX</stp>
        <tr r="I158" s="1"/>
      </tp>
      <tp>
        <v>-0.24</v>
        <stp/>
        <stp>NET_CHANGE</stp>
        <stp>TSS</stp>
        <tr r="E451" s="1"/>
      </tp>
      <tp>
        <v>0</v>
        <stp/>
        <stp>NET_CHANGE</stp>
        <stp>TSO</stp>
        <tr r="E450" s="1"/>
      </tp>
      <tp>
        <v>0.71</v>
        <stp/>
        <stp>NET_CHANGE</stp>
        <stp>TSN</stp>
        <tr r="E449" s="1"/>
      </tp>
      <tp>
        <v>-0.89</v>
        <stp/>
        <stp>NET_CHANGE</stp>
        <stp>TRV</stp>
        <tr r="E448" s="1"/>
      </tp>
      <tp>
        <v>0.71</v>
        <stp/>
        <stp>NET_CHANGE</stp>
        <stp>TWX</stp>
        <tr r="E453" s="1"/>
      </tp>
      <tp>
        <v>0</v>
        <stp/>
        <stp>NET_CHANGE</stp>
        <stp>TWC</stp>
        <tr r="E452" s="1"/>
      </tp>
      <tp>
        <v>0</v>
        <stp/>
        <stp>NET_CHANGE</stp>
        <stp>TYC</stp>
        <tr r="E456" s="1"/>
      </tp>
      <tp>
        <v>7.0000000000000007E-2</v>
        <stp/>
        <stp>NET_CHANGE</stp>
        <stp>TXT</stp>
        <tr r="E455" s="1"/>
      </tp>
      <tp>
        <v>-0.57999999999999996</v>
        <stp/>
        <stp>NET_CHANGE</stp>
        <stp>TXN</stp>
        <tr r="E454" s="1"/>
      </tp>
      <tp>
        <v>0.19</v>
        <stp/>
        <stp>NET_CHANGE</stp>
        <stp>TAP</stp>
        <tr r="E434" s="1"/>
      </tp>
      <tp>
        <v>-0.26</v>
        <stp/>
        <stp>NET_CHANGE</stp>
        <stp>TER</stp>
        <tr r="E439" s="1"/>
      </tp>
      <tp>
        <v>-0.11</v>
        <stp/>
        <stp>NET_CHANGE</stp>
        <stp>TEL</stp>
        <tr r="E438" s="1"/>
      </tp>
      <tp>
        <v>0</v>
        <stp/>
        <stp>NET_CHANGE</stp>
        <stp>TEG</stp>
        <tr r="E437" s="1"/>
      </tp>
      <tp>
        <v>-0.02</v>
        <stp/>
        <stp>NET_CHANGE</stp>
        <stp>TDC</stp>
        <tr r="E435" s="1"/>
      </tp>
      <tp>
        <v>3.04</v>
        <stp/>
        <stp>NET_CHANGE</stp>
        <stp>TGT</stp>
        <tr r="E440" s="1"/>
      </tp>
      <tp>
        <v>1.89</v>
        <stp/>
        <stp>NET_CHANGE</stp>
        <stp>TIF</stp>
        <tr r="E442" s="1"/>
      </tp>
      <tp>
        <v>-0.36</v>
        <stp/>
        <stp>NET_CHANGE</stp>
        <stp>THC</stp>
        <tr r="E441" s="1"/>
      </tp>
      <tp>
        <v>1.96</v>
        <stp/>
        <stp>NET_CHANGE</stp>
        <stp>TJX</stp>
        <tr r="E443" s="1"/>
      </tp>
      <tp>
        <v>-0.44</v>
        <stp/>
        <stp>NET_CHANGE</stp>
        <stp>TMO</stp>
        <tr r="E445" s="1"/>
      </tp>
      <tp>
        <v>0.43</v>
        <stp/>
        <stp>NET_CHANGE</stp>
        <stp>TMK</stp>
        <tr r="E444" s="1"/>
      </tp>
      <tp>
        <v>3776977</v>
        <stp/>
        <stp>VOLUME</stp>
        <stp>FITB</stp>
        <tr r="J186" s="1"/>
      </tp>
      <tp>
        <v>803331</v>
        <stp/>
        <stp>VOLUME</stp>
        <stp>FISV</stp>
        <tr r="J185" s="1"/>
      </tp>
      <tp>
        <v>5060349</v>
        <stp/>
        <stp>VOLUME</stp>
        <stp>GILD</stp>
        <tr r="J200" s="1"/>
      </tp>
      <tp>
        <v>1290488</v>
        <stp/>
        <stp>VOLUME</stp>
        <stp>ZION</stp>
        <tr r="J502" s="1"/>
      </tp>
      <tp>
        <v>2565890</v>
        <stp/>
        <stp>VOLUME</stp>
        <stp>CINF</stp>
        <tr r="J97" s="1"/>
      </tp>
      <tp>
        <v>843470</v>
        <stp/>
        <stp>VOLUME</stp>
        <stp>BIIB</stp>
        <tr r="J65" s="1"/>
      </tp>
      <tp>
        <v>20354</v>
        <stp/>
        <stp>VOLUME</stp>
        <stp>LIFE</stp>
        <tr r="J273" s="1"/>
      </tp>
      <tp>
        <v>14754278</v>
        <stp/>
        <stp>VOLUME</stp>
        <stp>VIAB</stp>
        <tr r="J467" s="1"/>
      </tp>
      <tp>
        <v>0</v>
        <stp/>
        <stp>VOLUME</stp>
        <stp>SIAL</stp>
        <tr r="J410" s="1"/>
      </tp>
      <tp>
        <v>1</v>
        <stp/>
        <stp>ASK_SIZE</stp>
        <stp>DPS</stp>
        <tr r="I147" s="1"/>
      </tp>
      <tp>
        <v>1</v>
        <stp/>
        <stp>ASK_SIZE</stp>
        <stp>DRI</stp>
        <tr r="I148" s="1"/>
      </tp>
      <tp>
        <v>0</v>
        <stp/>
        <stp>ASK_SIZE</stp>
        <stp>DTV</stp>
        <tr r="I150" s="1"/>
      </tp>
      <tp>
        <v>0</v>
        <stp/>
        <stp>ASK_SIZE</stp>
        <stp>DTE</stp>
        <tr r="I149" s="1"/>
      </tp>
      <tp>
        <v>1</v>
        <stp/>
        <stp>ASK_SIZE</stp>
        <stp>DUK</stp>
        <tr r="I151" s="1"/>
      </tp>
      <tp>
        <v>3</v>
        <stp/>
        <stp>ASK_SIZE</stp>
        <stp>DVA</stp>
        <tr r="I152" s="1"/>
      </tp>
      <tp>
        <v>21</v>
        <stp/>
        <stp>ASK_SIZE</stp>
        <stp>DVN</stp>
        <tr r="I153" s="1"/>
      </tp>
      <tp>
        <v>3</v>
        <stp/>
        <stp>ASK_SIZE</stp>
        <stp>DHR</stp>
        <tr r="I137" s="1"/>
      </tp>
      <tp>
        <v>2</v>
        <stp/>
        <stp>ASK_SIZE</stp>
        <stp>DHI</stp>
        <tr r="I136" s="1"/>
      </tp>
      <tp>
        <v>14</v>
        <stp/>
        <stp>ASK_SIZE</stp>
        <stp>DIS</stp>
        <tr r="I138" s="1"/>
      </tp>
      <tp>
        <v>82</v>
        <stp/>
        <stp>ASK_SIZE</stp>
        <stp>DNR</stp>
        <tr r="I143" s="1"/>
      </tp>
      <tp>
        <v>1</v>
        <stp/>
        <stp>ASK_SIZE</stp>
        <stp>DNB</stp>
        <tr r="I142" s="1"/>
      </tp>
      <tp>
        <v>2</v>
        <stp/>
        <stp>ASK_SIZE</stp>
        <stp>DOV</stp>
        <tr r="I145" s="1"/>
      </tp>
      <tp>
        <v>0</v>
        <stp/>
        <stp>ASK_SIZE</stp>
        <stp>DOW</stp>
        <tr r="I146" s="1"/>
      </tp>
      <tp>
        <v>7</v>
        <stp/>
        <stp>ASK_SIZE</stp>
        <stp>DFS</stp>
        <tr r="I133" s="1"/>
      </tp>
      <tp>
        <v>2</v>
        <stp/>
        <stp>ASK_SIZE</stp>
        <stp>DGX</stp>
        <tr r="I135" s="1"/>
      </tp>
      <tp>
        <v>0.47</v>
        <stp/>
        <stp>NET_CHANGE</stp>
        <stp>WPX</stp>
        <tr r="E487" s="1"/>
      </tp>
      <tp t="s">
        <v>N/A</v>
        <stp/>
        <stp>NET_CHANGE</stp>
        <stp>WPO</stp>
        <tr r="E486" s="1"/>
      </tp>
      <tp>
        <v>0.53</v>
        <stp/>
        <stp>NET_CHANGE</stp>
        <stp>WYN</stp>
        <tr r="E490" s="1"/>
      </tp>
      <tp>
        <v>-1.39</v>
        <stp/>
        <stp>NET_CHANGE</stp>
        <stp>WAT</stp>
        <tr r="E475" s="1"/>
      </tp>
      <tp>
        <v>0</v>
        <stp/>
        <stp>NET_CHANGE</stp>
        <stp>WAG</stp>
        <tr r="E474" s="1"/>
      </tp>
      <tp>
        <v>-0.57999999999999996</v>
        <stp/>
        <stp>NET_CHANGE</stp>
        <stp>WEC</stp>
        <tr r="E477" s="1"/>
      </tp>
      <tp>
        <v>0.09</v>
        <stp/>
        <stp>NET_CHANGE</stp>
        <stp>WDC</stp>
        <tr r="E476" s="1"/>
      </tp>
      <tp>
        <v>0</v>
        <stp/>
        <stp>NET_CHANGE</stp>
        <stp>WFM</stp>
        <tr r="E479" s="1"/>
      </tp>
      <tp>
        <v>-0.45</v>
        <stp/>
        <stp>NET_CHANGE</stp>
        <stp>WFC</stp>
        <tr r="E478" s="1"/>
      </tp>
      <tp>
        <v>0.17</v>
        <stp/>
        <stp>NET_CHANGE</stp>
        <stp>WIN</stp>
        <tr r="E481" s="1"/>
      </tp>
      <tp>
        <v>2.52</v>
        <stp/>
        <stp>NET_CHANGE</stp>
        <stp>WHR</stp>
        <tr r="E480" s="1"/>
      </tp>
      <tp>
        <v>-2.15</v>
        <stp/>
        <stp>NET_CHANGE</stp>
        <stp>WMT</stp>
        <tr r="E485" s="1"/>
      </tp>
      <tp>
        <v>0.24</v>
        <stp/>
        <stp>NET_CHANGE</stp>
        <stp>WMB</stp>
        <tr r="E484" s="1"/>
      </tp>
      <tp>
        <v>0</v>
        <stp/>
        <stp>NET_CHANGE</stp>
        <stp>WLP</stp>
        <tr r="E482" s="1"/>
      </tp>
      <tp>
        <v>27.53</v>
        <stp/>
        <stp>HIGH</stp>
        <stp>X</stp>
        <tr r="L492" s="1"/>
      </tp>
      <tp>
        <v>110.91</v>
        <stp/>
        <stp>HIGH</stp>
        <stp>V</stp>
        <tr r="L464" s="1"/>
      </tp>
      <tp>
        <v>34.880000000000003</v>
        <stp/>
        <stp>HIGH</stp>
        <stp>T</stp>
        <tr r="L433" s="1"/>
      </tp>
      <tp>
        <v>79.319999999999993</v>
        <stp/>
        <stp>HIGH</stp>
        <stp>R</stp>
        <tr r="L388" s="1"/>
      </tp>
      <tp>
        <v>6.27</v>
        <stp/>
        <stp>HIGH</stp>
        <stp>S</stp>
        <tr r="L402" s="1"/>
      </tp>
      <tp>
        <v>49.35</v>
        <stp/>
        <stp>HIGH</stp>
        <stp>L</stp>
        <tr r="L269" s="1"/>
      </tp>
      <tp>
        <v>20.94</v>
        <stp/>
        <stp>HIGH</stp>
        <stp>M</stp>
        <tr r="L288" s="1"/>
      </tp>
      <tp>
        <v>65.84</v>
        <stp/>
        <stp>HIGH</stp>
        <stp>K</stp>
        <tr r="L258" s="1"/>
      </tp>
      <tp>
        <v>12.06</v>
        <stp/>
        <stp>HIGH</stp>
        <stp>F</stp>
        <tr r="L176" s="1"/>
      </tp>
      <tp>
        <v>82</v>
        <stp/>
        <stp>HIGH</stp>
        <stp>D</stp>
        <tr r="L128" s="1"/>
      </tp>
      <tp>
        <v>71.83</v>
        <stp/>
        <stp>HIGH</stp>
        <stp>C</stp>
        <tr r="L78" s="1"/>
      </tp>
      <tp>
        <v>69.09</v>
        <stp/>
        <stp>HIGH</stp>
        <stp>A</stp>
        <tr r="L4" s="1"/>
      </tp>
      <tp t="s">
        <v>Range Bound</v>
        <stp/>
        <stp>STRENGTH_METER</stp>
        <stp>NVDA</stp>
        <tr r="C340" s="1"/>
      </tp>
      <tp>
        <v>9</v>
        <stp/>
        <stp>ASK_SIZE</stp>
        <stp>GPS</stp>
        <tr r="I207" s="1"/>
      </tp>
      <tp>
        <v>5</v>
        <stp/>
        <stp>ASK_SIZE</stp>
        <stp>GPC</stp>
        <tr r="I206" s="1"/>
      </tp>
      <tp>
        <v>2</v>
        <stp/>
        <stp>ASK_SIZE</stp>
        <stp>GWW</stp>
        <tr r="I211" s="1"/>
      </tp>
      <tp>
        <v>1</v>
        <stp/>
        <stp>ASK_SIZE</stp>
        <stp>GIS</stp>
        <tr r="I201" s="1"/>
      </tp>
      <tp>
        <v>8</v>
        <stp/>
        <stp>ASK_SIZE</stp>
        <stp>GLW</stp>
        <tr r="I202" s="1"/>
      </tp>
      <tp>
        <v>18</v>
        <stp/>
        <stp>ASK_SIZE</stp>
        <stp>GME</stp>
        <tr r="I203" s="1"/>
      </tp>
      <tp>
        <v>80</v>
        <stp/>
        <stp>ASK_SIZE</stp>
        <stp>GNW</stp>
        <tr r="I204" s="1"/>
      </tp>
      <tp>
        <v>0</v>
        <stp/>
        <stp>ASK_SIZE</stp>
        <stp>GAS</stp>
        <tr r="I196" s="1"/>
      </tp>
      <tp>
        <v>18</v>
        <stp/>
        <stp>ASK_SIZE</stp>
        <stp>GCI</stp>
        <tr r="I197" s="1"/>
      </tp>
      <tp>
        <v>-0.11</v>
        <stp/>
        <stp>NET_CHANGE</stp>
        <stp>VTR</stp>
        <tr r="E472" s="1"/>
      </tp>
      <tp>
        <v>-0.19</v>
        <stp/>
        <stp>NET_CHANGE</stp>
        <stp>VAR</stp>
        <tr r="E465" s="1"/>
      </tp>
      <tp>
        <v>0.73</v>
        <stp/>
        <stp>NET_CHANGE</stp>
        <stp>VFC</stp>
        <tr r="E466" s="1"/>
      </tp>
      <tp>
        <v>-0.81</v>
        <stp/>
        <stp>NET_CHANGE</stp>
        <stp>VMC</stp>
        <tr r="E469" s="1"/>
      </tp>
      <tp>
        <v>0.76</v>
        <stp/>
        <stp>NET_CHANGE</stp>
        <stp>VLO</stp>
        <tr r="E468" s="1"/>
      </tp>
      <tp>
        <v>-0.22</v>
        <stp/>
        <stp>NET_CHANGE</stp>
        <stp>VNO</stp>
        <tr r="E470" s="1"/>
      </tp>
      <tp t="s">
        <v>Uptrend</v>
        <stp/>
        <stp>STRENGTH_METER</stp>
        <stp>NWSA</stp>
        <tr r="C342" s="1"/>
      </tp>
      <tp>
        <v>3894176</v>
        <stp/>
        <stp>VOLUME</stp>
        <stp>AKAM</stp>
        <tr r="J28" s="1"/>
      </tp>
      <tp>
        <v>0</v>
        <stp/>
        <stp>ASK_SIZE</stp>
        <stp>FRX</stp>
        <tr r="I192" s="1"/>
      </tp>
      <tp>
        <v>4</v>
        <stp/>
        <stp>ASK_SIZE</stp>
        <stp>FTR</stp>
        <tr r="I195" s="1"/>
      </tp>
      <tp>
        <v>10</v>
        <stp/>
        <stp>ASK_SIZE</stp>
        <stp>FTI</stp>
        <tr r="I194" s="1"/>
      </tp>
      <tp>
        <v>1</v>
        <stp/>
        <stp>ASK_SIZE</stp>
        <stp>FHN</stp>
        <tr r="I183" s="1"/>
      </tp>
      <tp>
        <v>0</v>
        <stp/>
        <stp>ASK_SIZE</stp>
        <stp>FIS</stp>
        <tr r="I184" s="1"/>
      </tp>
      <tp>
        <v>2</v>
        <stp/>
        <stp>ASK_SIZE</stp>
        <stp>FLR</stp>
        <tr r="I188" s="1"/>
      </tp>
      <tp>
        <v>2</v>
        <stp/>
        <stp>ASK_SIZE</stp>
        <stp>FLS</stp>
        <tr r="I189" s="1"/>
      </tp>
      <tp>
        <v>5</v>
        <stp/>
        <stp>ASK_SIZE</stp>
        <stp>FMC</stp>
        <tr r="I190" s="1"/>
      </tp>
      <tp>
        <v>112</v>
        <stp/>
        <stp>ASK_SIZE</stp>
        <stp>FCX</stp>
        <tr r="I178" s="1"/>
      </tp>
      <tp>
        <v>1</v>
        <stp/>
        <stp>ASK_SIZE</stp>
        <stp>FDX</stp>
        <tr r="I180" s="1"/>
      </tp>
      <tp>
        <v>0</v>
        <stp/>
        <stp>ASK_SIZE</stp>
        <stp>FDO</stp>
        <tr r="I179" s="1"/>
      </tp>
      <tp>
        <v>0.26</v>
        <stp/>
        <stp>NET_CHANGE</stp>
        <stp>QEP</stp>
        <tr r="E387" s="1"/>
      </tp>
      <tp>
        <v>1940893</v>
        <stp/>
        <stp>VOLUME</stp>
        <stp>ALXN</stp>
        <tr r="J31" s="1"/>
      </tp>
      <tp>
        <v>0</v>
        <stp/>
        <stp>VOLUME</stp>
        <stp>LLTC</stp>
        <tr r="J275" s="1"/>
      </tp>
      <tp>
        <v>1931550</v>
        <stp/>
        <stp>VOLUME</stp>
        <stp>DLTR</stp>
        <tr r="J141" s="1"/>
      </tp>
      <tp>
        <v>329609</v>
        <stp/>
        <stp>VOLUME</stp>
        <stp>ALTR</stp>
        <tr r="J30" s="1"/>
      </tp>
      <tp>
        <v>1492700</v>
        <stp/>
        <stp>VOLUME</stp>
        <stp>DLPH</stp>
        <tr r="J140" s="1"/>
      </tp>
      <tp>
        <v>1798487</v>
        <stp/>
        <stp>VOLUME</stp>
        <stp>XLNX</stp>
        <tr r="J495" s="1"/>
      </tp>
      <tp t="s">
        <v>N/A</v>
        <stp/>
        <stp>STRENGTH_METER</stp>
        <stp>APOL</stp>
        <tr r="C45" s="1"/>
      </tp>
      <tp>
        <v>1409818</v>
        <stp/>
        <stp>VOLUME</stp>
        <stp>FLIR</stp>
        <tr r="J187" s="1"/>
      </tp>
      <tp>
        <v>12.02</v>
        <stp/>
        <stp>OPEN</stp>
        <stp>F</stp>
        <tr r="K176" s="1"/>
      </tp>
      <tp>
        <v>81.66</v>
        <stp/>
        <stp>OPEN</stp>
        <stp>D</stp>
        <tr r="K128" s="1"/>
      </tp>
      <tp>
        <v>71.16</v>
        <stp/>
        <stp>OPEN</stp>
        <stp>C</stp>
        <tr r="K78" s="1"/>
      </tp>
      <tp>
        <v>68.53</v>
        <stp/>
        <stp>OPEN</stp>
        <stp>A</stp>
        <tr r="K4" s="1"/>
      </tp>
      <tp>
        <v>20.68</v>
        <stp/>
        <stp>OPEN</stp>
        <stp>M</stp>
        <tr r="K288" s="1"/>
      </tp>
      <tp>
        <v>49.03</v>
        <stp/>
        <stp>OPEN</stp>
        <stp>L</stp>
        <tr r="K269" s="1"/>
      </tp>
      <tp>
        <v>64.98</v>
        <stp/>
        <stp>OPEN</stp>
        <stp>K</stp>
        <tr r="K258" s="1"/>
      </tp>
      <tp>
        <v>110.69</v>
        <stp/>
        <stp>OPEN</stp>
        <stp>V</stp>
        <tr r="K464" s="1"/>
      </tp>
      <tp>
        <v>34.43</v>
        <stp/>
        <stp>OPEN</stp>
        <stp>T</stp>
        <tr r="K433" s="1"/>
      </tp>
      <tp>
        <v>6.2</v>
        <stp/>
        <stp>OPEN</stp>
        <stp>S</stp>
        <tr r="K402" s="1"/>
      </tp>
      <tp>
        <v>79.319999999999993</v>
        <stp/>
        <stp>OPEN</stp>
        <stp>R</stp>
        <tr r="K388" s="1"/>
      </tp>
      <tp>
        <v>27.09</v>
        <stp/>
        <stp>OPEN</stp>
        <stp>X</stp>
        <tr r="K492" s="1"/>
      </tp>
      <tp t="s">
        <v>N/A</v>
        <stp/>
        <stp>STRENGTH_METER</stp>
        <stp>SPLS</stp>
        <tr r="C419" s="1"/>
      </tp>
      <tp>
        <v>1690899</v>
        <stp/>
        <stp>VOLUME</stp>
        <stp>KLAC</stp>
        <tr r="J261" s="1"/>
      </tp>
      <tp>
        <v>1</v>
        <stp/>
        <stp>ASK_SIZE</stp>
        <stp>AXP</stp>
        <tr r="I51" s="1"/>
      </tp>
      <tp>
        <v>1</v>
        <stp/>
        <stp>ASK_SIZE</stp>
        <stp>AZO</stp>
        <tr r="I52" s="1"/>
      </tp>
      <tp>
        <v>0</v>
        <stp/>
        <stp>ASK_SIZE</stp>
        <stp>APD</stp>
        <tr r="I43" s="1"/>
      </tp>
      <tp>
        <v>6</v>
        <stp/>
        <stp>ASK_SIZE</stp>
        <stp>APA</stp>
        <tr r="I41" s="1"/>
      </tp>
      <tp>
        <v>3</v>
        <stp/>
        <stp>ASK_SIZE</stp>
        <stp>APC</stp>
        <tr r="I42" s="1"/>
      </tp>
      <tp>
        <v>1</v>
        <stp/>
        <stp>ASK_SIZE</stp>
        <stp>APH</stp>
        <tr r="I44" s="1"/>
      </tp>
      <tp>
        <v>0</v>
        <stp/>
        <stp>ASK_SIZE</stp>
        <stp>ARG</stp>
        <tr r="I46" s="1"/>
      </tp>
      <tp>
        <v>10</v>
        <stp/>
        <stp>ASK_SIZE</stp>
        <stp>ATI</stp>
        <tr r="I47" s="1"/>
      </tp>
      <tp>
        <v>1</v>
        <stp/>
        <stp>ASK_SIZE</stp>
        <stp>AVP</stp>
        <tr r="I49" s="1"/>
      </tp>
      <tp>
        <v>1</v>
        <stp/>
        <stp>ASK_SIZE</stp>
        <stp>AVY</stp>
        <tr r="I50" s="1"/>
      </tp>
      <tp>
        <v>0</v>
        <stp/>
        <stp>ASK_SIZE</stp>
        <stp>AVB</stp>
        <tr r="I48" s="1"/>
      </tp>
      <tp>
        <v>1</v>
        <stp/>
        <stp>ASK_SIZE</stp>
        <stp>AIV</stp>
        <tr r="I26" s="1"/>
      </tp>
      <tp>
        <v>1</v>
        <stp/>
        <stp>ASK_SIZE</stp>
        <stp>AIZ</stp>
        <tr r="I27" s="1"/>
      </tp>
      <tp>
        <v>6</v>
        <stp/>
        <stp>ASK_SIZE</stp>
        <stp>AIG</stp>
        <tr r="I25" s="1"/>
      </tp>
      <tp>
        <v>8</v>
        <stp/>
        <stp>ASK_SIZE</stp>
        <stp>ALL</stp>
        <tr r="I29" s="1"/>
      </tp>
      <tp>
        <v>1</v>
        <stp/>
        <stp>ASK_SIZE</stp>
        <stp>AMT</stp>
        <tr r="I36" s="1"/>
      </tp>
      <tp>
        <v>1</v>
        <stp/>
        <stp>ASK_SIZE</stp>
        <stp>AMP</stp>
        <tr r="I35" s="1"/>
      </tp>
      <tp>
        <v>43</v>
        <stp/>
        <stp>ASK_SIZE</stp>
        <stp>AMD</stp>
        <tr r="I33" s="1"/>
      </tp>
      <tp>
        <v>1</v>
        <stp/>
        <stp>ASK_SIZE</stp>
        <stp>ANF</stp>
        <tr r="I39" s="1"/>
      </tp>
      <tp>
        <v>2</v>
        <stp/>
        <stp>ASK_SIZE</stp>
        <stp>AON</stp>
        <tr r="I40" s="1"/>
      </tp>
      <tp>
        <v>1</v>
        <stp/>
        <stp>ASK_SIZE</stp>
        <stp>ABT</stp>
        <tr r="I9" s="1"/>
      </tp>
      <tp>
        <v>1</v>
        <stp/>
        <stp>ASK_SIZE</stp>
        <stp>ABC</stp>
        <tr r="I8" s="1"/>
      </tp>
      <tp>
        <v>0</v>
        <stp/>
        <stp>ASK_SIZE</stp>
        <stp>ACT</stp>
        <tr r="I12" s="1"/>
      </tp>
      <tp>
        <v>0</v>
        <stp/>
        <stp>ASK_SIZE</stp>
        <stp>ACE</stp>
        <tr r="I10" s="1"/>
      </tp>
      <tp>
        <v>0</v>
        <stp/>
        <stp>ASK_SIZE</stp>
        <stp>ACN</stp>
        <tr r="I11" s="1"/>
      </tp>
      <tp>
        <v>0</v>
        <stp/>
        <stp>ASK_SIZE</stp>
        <stp>ADT</stp>
        <tr r="I18" s="1"/>
      </tp>
      <tp>
        <v>1</v>
        <stp/>
        <stp>ASK_SIZE</stp>
        <stp>ADP</stp>
        <tr r="I16" s="1"/>
      </tp>
      <tp>
        <v>1</v>
        <stp/>
        <stp>ASK_SIZE</stp>
        <stp>ADM</stp>
        <tr r="I15" s="1"/>
      </tp>
      <tp>
        <v>2</v>
        <stp/>
        <stp>ASK_SIZE</stp>
        <stp>ADI</stp>
        <tr r="I14" s="1"/>
      </tp>
      <tp>
        <v>1</v>
        <stp/>
        <stp>ASK_SIZE</stp>
        <stp>AET</stp>
        <tr r="I22" s="1"/>
      </tp>
      <tp>
        <v>3</v>
        <stp/>
        <stp>ASK_SIZE</stp>
        <stp>AEP</stp>
        <tr r="I20" s="1"/>
      </tp>
      <tp>
        <v>1</v>
        <stp/>
        <stp>ASK_SIZE</stp>
        <stp>AES</stp>
        <tr r="I21" s="1"/>
      </tp>
      <tp>
        <v>1</v>
        <stp/>
        <stp>ASK_SIZE</stp>
        <stp>AEE</stp>
        <tr r="I19" s="1"/>
      </tp>
      <tp>
        <v>2</v>
        <stp/>
        <stp>ASK_SIZE</stp>
        <stp>AFL</stp>
        <tr r="I23" s="1"/>
      </tp>
      <tp>
        <v>1</v>
        <stp/>
        <stp>ASK_SIZE</stp>
        <stp>AGN</stp>
        <tr r="I24" s="1"/>
      </tp>
      <tp>
        <v>0.04</v>
        <stp/>
        <stp>NET_CHANGE</stp>
        <stp>PPL</stp>
        <tr r="E377" s="1"/>
      </tp>
      <tp>
        <v>-0.18</v>
        <stp/>
        <stp>NET_CHANGE</stp>
        <stp>PPG</stp>
        <tr r="E376" s="1"/>
      </tp>
      <tp>
        <v>0.19</v>
        <stp/>
        <stp>NET_CHANGE</stp>
        <stp>PSX</stp>
        <tr r="E381" s="1"/>
      </tp>
      <tp>
        <v>-1.82</v>
        <stp/>
        <stp>NET_CHANGE</stp>
        <stp>PSA</stp>
        <tr r="E380" s="1"/>
      </tp>
      <tp>
        <v>-0.12</v>
        <stp/>
        <stp>NET_CHANGE</stp>
        <stp>PRU</stp>
        <tr r="E379" s="1"/>
      </tp>
      <tp>
        <v>0.04</v>
        <stp/>
        <stp>NET_CHANGE</stp>
        <stp>PWR</stp>
        <tr r="E383" s="1"/>
      </tp>
      <tp>
        <v>3.18</v>
        <stp/>
        <stp>NET_CHANGE</stp>
        <stp>PVH</stp>
        <tr r="E382" s="1"/>
      </tp>
      <tp>
        <v>1.18</v>
        <stp/>
        <stp>NET_CHANGE</stp>
        <stp>PXD</stp>
        <tr r="E385" s="1"/>
      </tp>
      <tp>
        <v>0</v>
        <stp/>
        <stp>NET_CHANGE</stp>
        <stp>PCP</stp>
        <tr r="E357" s="1"/>
      </tp>
      <tp>
        <v>0</v>
        <stp/>
        <stp>NET_CHANGE</stp>
        <stp>PCL</stp>
        <tr r="E355" s="1"/>
      </tp>
      <tp>
        <v>-1.1499999999999999</v>
        <stp/>
        <stp>NET_CHANGE</stp>
        <stp>PCG</stp>
        <tr r="E354" s="1"/>
      </tp>
      <tp>
        <v>-0.04</v>
        <stp/>
        <stp>NET_CHANGE</stp>
        <stp>PBI</stp>
        <tr r="E352" s="1"/>
      </tp>
      <tp>
        <v>-0.55000000000000004</v>
        <stp/>
        <stp>NET_CHANGE</stp>
        <stp>PEP</stp>
        <tr r="E360" s="1"/>
      </tp>
      <tp>
        <v>0.12</v>
        <stp/>
        <stp>NET_CHANGE</stp>
        <stp>PEG</stp>
        <tr r="E359" s="1"/>
      </tp>
      <tp>
        <v>-0.02</v>
        <stp/>
        <stp>NET_CHANGE</stp>
        <stp>PGR</stp>
        <tr r="E365" s="1"/>
      </tp>
      <tp>
        <v>0.25</v>
        <stp/>
        <stp>NET_CHANGE</stp>
        <stp>PFG</stp>
        <tr r="E363" s="1"/>
      </tp>
      <tp>
        <v>-0.19</v>
        <stp/>
        <stp>NET_CHANGE</stp>
        <stp>PFE</stp>
        <tr r="E362" s="1"/>
      </tp>
      <tp>
        <v>0.35</v>
        <stp/>
        <stp>NET_CHANGE</stp>
        <stp>PHM</stp>
        <tr r="E367" s="1"/>
      </tp>
      <tp>
        <v>0.01</v>
        <stp/>
        <stp>NET_CHANGE</stp>
        <stp>PKI</stp>
        <tr r="E368" s="1"/>
      </tp>
      <tp>
        <v>0</v>
        <stp/>
        <stp>NET_CHANGE</stp>
        <stp>PLL</stp>
        <tr r="E370" s="1"/>
      </tp>
      <tp>
        <v>-0.75</v>
        <stp/>
        <stp>NET_CHANGE</stp>
        <stp>PLD</stp>
        <tr r="E369" s="1"/>
      </tp>
      <tp>
        <v>0</v>
        <stp/>
        <stp>NET_CHANGE</stp>
        <stp>POM</stp>
        <tr r="E375" s="1"/>
      </tp>
      <tp>
        <v>-0.73</v>
        <stp/>
        <stp>NET_CHANGE</stp>
        <stp>PNW</stp>
        <tr r="E374" s="1"/>
      </tp>
      <tp>
        <v>0.21</v>
        <stp/>
        <stp>NET_CHANGE</stp>
        <stp>PNR</stp>
        <tr r="E373" s="1"/>
      </tp>
      <tp>
        <v>0.36</v>
        <stp/>
        <stp>NET_CHANGE</stp>
        <stp>PNC</stp>
        <tr r="E372" s="1"/>
      </tp>
      <tp>
        <v>2342214</v>
        <stp/>
        <stp>VOLUME</stp>
        <stp>AMZN</stp>
        <tr r="J37" s="1"/>
      </tp>
      <tp>
        <v>2011690</v>
        <stp/>
        <stp>VOLUME</stp>
        <stp>AMGN</stp>
        <tr r="J34" s="1"/>
      </tp>
      <tp>
        <v>27296751</v>
        <stp/>
        <stp>VOLUME</stp>
        <stp>AMAT</stp>
        <tr r="J32" s="1"/>
      </tp>
      <tp>
        <v>0</v>
        <stp/>
        <stp>BID_SIZE</stp>
        <stp>ZMH</stp>
        <tr r="H503" s="1"/>
      </tp>
      <tp>
        <v>2.08</v>
        <stp/>
        <stp>NET_CHANGE</stp>
        <stp>SPG</stp>
        <tr r="E418" s="1"/>
      </tp>
      <tp>
        <v>-0.35</v>
        <stp/>
        <stp>NET_CHANGE</stp>
        <stp>SRE</stp>
        <tr r="E421" s="1"/>
      </tp>
      <tp>
        <v>-1.05</v>
        <stp/>
        <stp>NET_CHANGE</stp>
        <stp>STZ</stp>
        <tr r="E426" s="1"/>
      </tp>
      <tp>
        <v>0.3</v>
        <stp/>
        <stp>NET_CHANGE</stp>
        <stp>STX</stp>
        <tr r="E425" s="1"/>
      </tp>
      <tp>
        <v>-0.09</v>
        <stp/>
        <stp>NET_CHANGE</stp>
        <stp>STT</stp>
        <tr r="E424" s="1"/>
      </tp>
      <tp>
        <v>0</v>
        <stp/>
        <stp>NET_CHANGE</stp>
        <stp>STJ</stp>
        <tr r="E423" s="1"/>
      </tp>
      <tp>
        <v>0.05</v>
        <stp/>
        <stp>NET_CHANGE</stp>
        <stp>STI</stp>
        <tr r="E422" s="1"/>
      </tp>
      <tp>
        <v>0</v>
        <stp/>
        <stp>NET_CHANGE</stp>
        <stp>SWY</stp>
        <tr r="E429" s="1"/>
      </tp>
      <tp>
        <v>0.35</v>
        <stp/>
        <stp>NET_CHANGE</stp>
        <stp>SWN</stp>
        <tr r="E428" s="1"/>
      </tp>
      <tp>
        <v>0.28000000000000003</v>
        <stp/>
        <stp>NET_CHANGE</stp>
        <stp>SWK</stp>
        <tr r="E427" s="1"/>
      </tp>
      <tp>
        <v>0.41</v>
        <stp/>
        <stp>NET_CHANGE</stp>
        <stp>SYY</stp>
        <tr r="E432" s="1"/>
      </tp>
      <tp>
        <v>-1.08</v>
        <stp/>
        <stp>NET_CHANGE</stp>
        <stp>SYK</stp>
        <tr r="E430" s="1"/>
      </tp>
      <tp t="s">
        <v>N/A</v>
        <stp/>
        <stp>NET_CHANGE</stp>
        <stp>SAI</stp>
        <tr r="E403" s="1"/>
      </tp>
      <tp>
        <v>-1.55</v>
        <stp/>
        <stp>NET_CHANGE</stp>
        <stp>SCG</stp>
        <tr r="E405" s="1"/>
      </tp>
      <tp>
        <v>0.14000000000000001</v>
        <stp/>
        <stp>NET_CHANGE</stp>
        <stp>SEE</stp>
        <tr r="E408" s="1"/>
      </tp>
      <tp>
        <v>-1.05</v>
        <stp/>
        <stp>NET_CHANGE</stp>
        <stp>SHW</stp>
        <tr r="E409" s="1"/>
      </tp>
      <tp>
        <v>-2.46</v>
        <stp/>
        <stp>NET_CHANGE</stp>
        <stp>SJM</stp>
        <tr r="E411" s="1"/>
      </tp>
      <tp>
        <v>-0.03</v>
        <stp/>
        <stp>NET_CHANGE</stp>
        <stp>SLM</stp>
        <tr r="E413" s="1"/>
      </tp>
      <tp>
        <v>0.65</v>
        <stp/>
        <stp>NET_CHANGE</stp>
        <stp>SLB</stp>
        <tr r="E412" s="1"/>
      </tp>
      <tp>
        <v>0.81</v>
        <stp/>
        <stp>NET_CHANGE</stp>
        <stp>SNI</stp>
        <tr r="E416" s="1"/>
      </tp>
      <tp>
        <v>-0.05</v>
        <stp/>
        <stp>NET_CHANGE</stp>
        <stp>SNA</stp>
        <tr r="E414" s="1"/>
      </tp>
      <tp>
        <v>6900814</v>
        <stp/>
        <stp>VOLUME</stp>
        <stp>DISCA</stp>
        <tr r="J139" s="1"/>
      </tp>
      <tp t="s">
        <v>Range Bound</v>
        <stp/>
        <stp>STRENGTH_METER</stp>
        <stp>VRSN</stp>
        <tr r="C471" s="1"/>
      </tp>
      <tp>
        <v>63119594</v>
        <stp/>
        <stp>VOLUME</stp>
        <stp>INTC</stp>
        <tr r="J239" s="1"/>
      </tp>
      <tp>
        <v>1244673</v>
        <stp/>
        <stp>VOLUME</stp>
        <stp>INTU</stp>
        <tr r="J240" s="1"/>
      </tp>
      <tp>
        <v>4504588</v>
        <stp/>
        <stp>VOLUME</stp>
        <stp>JNPR</stp>
        <tr r="J254" s="1"/>
      </tp>
      <tp>
        <v>1793316</v>
        <stp/>
        <stp>VOLUME</stp>
        <stp>MNST</stp>
        <tr r="J306" s="1"/>
      </tp>
      <tp t="s">
        <v>Downtrend</v>
        <stp/>
        <stp>STRENGTH_METER</stp>
        <stp>TRIP</stp>
        <tr r="C446" s="1"/>
      </tp>
      <tp t="s">
        <v>Range Bound</v>
        <stp/>
        <stp>STRENGTH_METER</stp>
        <stp>TROW</stp>
        <tr r="C447" s="1"/>
      </tp>
      <tp t="s">
        <v>Range Bound</v>
        <stp/>
        <stp>STRENGTH_METER</stp>
        <stp>GRMN</stp>
        <tr r="C208" s="1"/>
      </tp>
      <tp t="s">
        <v>Range Bound</v>
        <stp/>
        <stp>STRENGTH_METER</stp>
        <stp>ORLY</stp>
        <tr r="C348" s="1"/>
      </tp>
      <tp t="s">
        <v>Downtrend</v>
        <stp/>
        <stp>STRENGTH_METER</stp>
        <stp>SRCL</stp>
        <tr r="C420" s="1"/>
      </tp>
      <tp t="s">
        <v>Range Bound</v>
        <stp/>
        <stp>STRENGTH_METER</stp>
        <stp>ORCL</stp>
        <tr r="C347" s="1"/>
      </tp>
      <tp t="s">
        <v>Downtrend</v>
        <stp/>
        <stp>STRENGTH_METER</stp>
        <stp>BRCM</stp>
        <tr r="C72" s="1"/>
      </tp>
      <tp t="s">
        <v>Range Bound</v>
        <stp/>
        <stp>STRENGTH_METER</stp>
        <stp>LRCX</stp>
        <tr r="C282" s="1"/>
      </tp>
      <tp t="s">
        <v>Uptrend</v>
        <stp/>
        <stp>STRENGTH_METER</stp>
        <stp>URBN</stp>
        <tr r="C461" s="1"/>
      </tp>
      <tp>
        <v>0</v>
        <stp/>
        <stp>VOLUME</stp>
        <stp>SNDK</stp>
        <tr r="J415" s="1"/>
      </tp>
      <tp t="s">
        <v>Uptrend</v>
        <stp/>
        <stp>STRENGTH_METER</stp>
        <stp>XRAY</stp>
        <tr r="C497" s="1"/>
      </tp>
      <tp t="s">
        <v>Range Bound</v>
        <stp/>
        <stp>STRENGTH_METER</stp>
        <stp>PRGO</stp>
        <tr r="C378" s="1"/>
      </tp>
      <tp t="s">
        <v>N/A</v>
        <stp/>
        <stp>STRENGTH_METER</stp>
        <stp>KRFT</stp>
        <tr r="C267" s="1"/>
      </tp>
      <tp>
        <v>1</v>
        <stp/>
        <stp>BID_SIZE</stp>
        <stp>YUM</stp>
        <tr r="H501" s="1"/>
      </tp>
      <tp>
        <v>1</v>
        <stp/>
        <stp>ASK_SIZE</stp>
        <stp>CPB</stp>
        <tr r="I116" s="1"/>
      </tp>
      <tp>
        <v>1</v>
        <stp/>
        <stp>ASK_SIZE</stp>
        <stp>CRM</stp>
        <tr r="I117" s="1"/>
      </tp>
      <tp>
        <v>1</v>
        <stp/>
        <stp>ASK_SIZE</stp>
        <stp>CSX</stp>
        <tr r="I120" s="1"/>
      </tp>
      <tp>
        <v>0</v>
        <stp/>
        <stp>ASK_SIZE</stp>
        <stp>CSC</stp>
        <tr r="I118" s="1"/>
      </tp>
      <tp>
        <v>1</v>
        <stp/>
        <stp>ASK_SIZE</stp>
        <stp>CTL</stp>
        <tr r="I122" s="1"/>
      </tp>
      <tp>
        <v>10</v>
        <stp/>
        <stp>ASK_SIZE</stp>
        <stp>CVS</stp>
        <tr r="I126" s="1"/>
      </tp>
      <tp>
        <v>1</v>
        <stp/>
        <stp>ASK_SIZE</stp>
        <stp>CVX</stp>
        <tr r="I127" s="1"/>
      </tp>
      <tp>
        <v>0</v>
        <stp/>
        <stp>ASK_SIZE</stp>
        <stp>CVC</stp>
        <tr r="I125" s="1"/>
      </tp>
      <tp>
        <v>327</v>
        <stp/>
        <stp>ASK_SIZE</stp>
        <stp>CHK</stp>
        <tr r="I94" s="1"/>
      </tp>
      <tp>
        <v>10</v>
        <stp/>
        <stp>ASK_SIZE</stp>
        <stp>CLX</stp>
        <tr r="I100" s="1"/>
      </tp>
      <tp>
        <v>5</v>
        <stp/>
        <stp>ASK_SIZE</stp>
        <stp>CLF</stp>
        <tr r="I99" s="1"/>
      </tp>
      <tp>
        <v>2</v>
        <stp/>
        <stp>ASK_SIZE</stp>
        <stp>CMS</stp>
        <tr r="I106" s="1"/>
      </tp>
      <tp>
        <v>1</v>
        <stp/>
        <stp>ASK_SIZE</stp>
        <stp>CME</stp>
        <tr r="I103" s="1"/>
      </tp>
      <tp>
        <v>1</v>
        <stp/>
        <stp>ASK_SIZE</stp>
        <stp>CMG</stp>
        <tr r="I104" s="1"/>
      </tp>
      <tp>
        <v>0</v>
        <stp/>
        <stp>ASK_SIZE</stp>
        <stp>CMA</stp>
        <tr r="I101" s="1"/>
      </tp>
      <tp>
        <v>9</v>
        <stp/>
        <stp>ASK_SIZE</stp>
        <stp>CMI</stp>
        <tr r="I105" s="1"/>
      </tp>
      <tp>
        <v>7</v>
        <stp/>
        <stp>ASK_SIZE</stp>
        <stp>CNP</stp>
        <tr r="I107" s="1"/>
      </tp>
      <tp>
        <v>1</v>
        <stp/>
        <stp>ASK_SIZE</stp>
        <stp>CNX</stp>
        <tr r="I108" s="1"/>
      </tp>
      <tp>
        <v>0</v>
        <stp/>
        <stp>ASK_SIZE</stp>
        <stp>COV</stp>
        <tr r="I115" s="1"/>
      </tp>
      <tp>
        <v>1</v>
        <stp/>
        <stp>ASK_SIZE</stp>
        <stp>COP</stp>
        <tr r="I113" s="1"/>
      </tp>
      <tp>
        <v>3</v>
        <stp/>
        <stp>ASK_SIZE</stp>
        <stp>COF</stp>
        <tr r="I109" s="1"/>
      </tp>
      <tp>
        <v>1</v>
        <stp/>
        <stp>ASK_SIZE</stp>
        <stp>COG</stp>
        <tr r="I110" s="1"/>
      </tp>
      <tp>
        <v>1</v>
        <stp/>
        <stp>ASK_SIZE</stp>
        <stp>COL</stp>
        <tr r="I112" s="1"/>
      </tp>
      <tp>
        <v>0</v>
        <stp/>
        <stp>ASK_SIZE</stp>
        <stp>COH</stp>
        <tr r="I111" s="1"/>
      </tp>
      <tp>
        <v>1</v>
        <stp/>
        <stp>ASK_SIZE</stp>
        <stp>CAT</stp>
        <tr r="I83" s="1"/>
      </tp>
      <tp>
        <v>1</v>
        <stp/>
        <stp>ASK_SIZE</stp>
        <stp>CAG</stp>
        <tr r="I80" s="1"/>
      </tp>
      <tp>
        <v>0</v>
        <stp/>
        <stp>ASK_SIZE</stp>
        <stp>CAM</stp>
        <tr r="I82" s="1"/>
      </tp>
      <tp>
        <v>1</v>
        <stp/>
        <stp>ASK_SIZE</stp>
        <stp>CAH</stp>
        <tr r="I81" s="1"/>
      </tp>
      <tp>
        <v>1</v>
        <stp/>
        <stp>ASK_SIZE</stp>
        <stp>CBS</stp>
        <tr r="I86" s="1"/>
      </tp>
      <tp>
        <v>2</v>
        <stp/>
        <stp>ASK_SIZE</stp>
        <stp>CBG</stp>
        <tr r="I85" s="1"/>
      </tp>
      <tp>
        <v>1</v>
        <stp/>
        <stp>ASK_SIZE</stp>
        <stp>CCE</stp>
        <tr r="I87" s="1"/>
      </tp>
      <tp>
        <v>1</v>
        <stp/>
        <stp>ASK_SIZE</stp>
        <stp>CCL</stp>
        <tr r="I89" s="1"/>
      </tp>
      <tp>
        <v>1</v>
        <stp/>
        <stp>ASK_SIZE</stp>
        <stp>CCI</stp>
        <tr r="I88" s="1"/>
      </tp>
      <tp>
        <v>0</v>
        <stp/>
        <stp>ASK_SIZE</stp>
        <stp>CFN</stp>
        <tr r="I93" s="1"/>
      </tp>
      <tp>
        <v>-0.8</v>
        <stp/>
        <stp>NET_CHANGE</stp>
        <stp>RSG</stp>
        <tr r="E400" s="1"/>
      </tp>
      <tp>
        <v>0.83</v>
        <stp/>
        <stp>NET_CHANGE</stp>
        <stp>RRC</stp>
        <tr r="E399" s="1"/>
      </tp>
      <tp>
        <v>-1.42</v>
        <stp/>
        <stp>NET_CHANGE</stp>
        <stp>RTN</stp>
        <tr r="E401" s="1"/>
      </tp>
      <tp>
        <v>0</v>
        <stp/>
        <stp>NET_CHANGE</stp>
        <stp>RAI</stp>
        <tr r="E389" s="1"/>
      </tp>
      <tp>
        <v>0.11</v>
        <stp/>
        <stp>NET_CHANGE</stp>
        <stp>RDC</stp>
        <tr r="E390" s="1"/>
      </tp>
      <tp>
        <v>-0.68</v>
        <stp/>
        <stp>NET_CHANGE</stp>
        <stp>RHT</stp>
        <tr r="E394" s="1"/>
      </tp>
      <tp>
        <v>0</v>
        <stp/>
        <stp>NET_CHANGE</stp>
        <stp>RHI</stp>
        <tr r="E393" s="1"/>
      </tp>
      <tp>
        <v>-0.16</v>
        <stp/>
        <stp>NET_CHANGE</stp>
        <stp>ROP</stp>
        <tr r="E397" s="1"/>
      </tp>
      <tp>
        <v>0.75</v>
        <stp/>
        <stp>NET_CHANGE</stp>
        <stp>ROK</stp>
        <tr r="E396" s="1"/>
      </tp>
      <tp t="s">
        <v>Range Bound</v>
        <stp/>
        <stp>STRENGTH_METER</stp>
        <stp>ISRG</stp>
        <tr r="C245" s="1"/>
      </tp>
      <tp t="s">
        <v>Range Bound</v>
        <stp/>
        <stp>STRENGTH_METER</stp>
        <stp>ESRX</stp>
        <tr r="C167" s="1"/>
      </tp>
      <tp>
        <v>2053435</v>
        <stp/>
        <stp>VOLUME</stp>
        <stp>FOSL</stp>
        <tr r="J191" s="1"/>
      </tp>
      <tp>
        <v>8189786</v>
        <stp/>
        <stp>VOLUME</stp>
        <stp>ROST</stp>
        <tr r="J398" s="1"/>
      </tp>
      <tp>
        <v>2094434</v>
        <stp/>
        <stp>VOLUME</stp>
        <stp>COST</stp>
        <tr r="J114" s="1"/>
      </tp>
      <tp t="s">
        <v>N/A</v>
        <stp/>
        <stp>VOLUME</stp>
        <stp>MOLX</stp>
        <tr r="J308" s="1"/>
      </tp>
      <tp>
        <v>1359999</v>
        <stp/>
        <stp>VOLUME</stp>
        <stp>GOOG</stp>
        <tr r="J205" s="1"/>
      </tp>
      <tp t="s">
        <v>Uptrend</v>
        <stp/>
        <stp>STRENGTH_METER</stp>
        <stp>FSLR</stp>
        <tr r="C193" s="1"/>
      </tp>
      <tp t="s">
        <v>Range Bound</v>
        <stp/>
        <stp>STRENGTH_METER</stp>
        <stp>CSCO</stp>
        <tr r="C119" s="1"/>
      </tp>
      <tp t="s">
        <v>Range Bound</v>
        <stp/>
        <stp>STRENGTH_METER</stp>
        <stp>MSFT</stp>
        <tr r="C315" s="1"/>
      </tp>
      <tp>
        <v>1</v>
        <stp/>
        <stp>ASK_SIZE</stp>
        <stp>BXP</stp>
        <tr r="I77" s="1"/>
      </tp>
      <tp>
        <v>1</v>
        <stp/>
        <stp>BID_SIZE</stp>
        <stp>XRX</stp>
        <tr r="H498" s="1"/>
      </tp>
      <tp>
        <v>8</v>
        <stp/>
        <stp>ASK_SIZE</stp>
        <stp>BSX</stp>
        <tr r="I74" s="1"/>
      </tp>
      <tp>
        <v>0</v>
        <stp/>
        <stp>ASK_SIZE</stp>
        <stp>BTU</stp>
        <tr r="I75" s="1"/>
      </tp>
      <tp>
        <v>1</v>
        <stp/>
        <stp>BID_SIZE</stp>
        <stp>XYL</stp>
        <tr r="H499" s="1"/>
      </tp>
      <tp>
        <v>4</v>
        <stp/>
        <stp>ASK_SIZE</stp>
        <stp>BWA</stp>
        <tr r="I76" s="1"/>
      </tp>
      <tp>
        <v>0</v>
        <stp/>
        <stp>ASK_SIZE</stp>
        <stp>BHI</stp>
        <tr r="I64" s="1"/>
      </tp>
      <tp>
        <v>1</v>
        <stp/>
        <stp>BID_SIZE</stp>
        <stp>XEL</stp>
        <tr r="H493" s="1"/>
      </tp>
      <tp>
        <v>1</v>
        <stp/>
        <stp>ASK_SIZE</stp>
        <stp>BLL</stp>
        <tr r="I68" s="1"/>
      </tp>
      <tp>
        <v>0</v>
        <stp/>
        <stp>ASK_SIZE</stp>
        <stp>BLK</stp>
        <tr r="I67" s="1"/>
      </tp>
      <tp>
        <v>1</v>
        <stp/>
        <stp>ASK_SIZE</stp>
        <stp>BMS</stp>
        <tr r="I70" s="1"/>
      </tp>
      <tp>
        <v>1</v>
        <stp/>
        <stp>ASK_SIZE</stp>
        <stp>BMY</stp>
        <tr r="I71" s="1"/>
      </tp>
      <tp>
        <v>0</v>
        <stp/>
        <stp>ASK_SIZE</stp>
        <stp>BMC</stp>
        <tr r="I69" s="1"/>
      </tp>
      <tp>
        <v>4</v>
        <stp/>
        <stp>BID_SIZE</stp>
        <stp>XOM</stp>
        <tr r="H496" s="1"/>
      </tp>
      <tp>
        <v>1</v>
        <stp/>
        <stp>ASK_SIZE</stp>
        <stp>BAX</stp>
        <tr r="I55" s="1"/>
      </tp>
      <tp>
        <v>42</v>
        <stp/>
        <stp>ASK_SIZE</stp>
        <stp>BAC</stp>
        <tr r="I54" s="1"/>
      </tp>
      <tp>
        <v>1</v>
        <stp/>
        <stp>ASK_SIZE</stp>
        <stp>BBT</stp>
        <tr r="I57" s="1"/>
      </tp>
      <tp>
        <v>3</v>
        <stp/>
        <stp>ASK_SIZE</stp>
        <stp>BBY</stp>
        <tr r="I58" s="1"/>
      </tp>
      <tp>
        <v>0</v>
        <stp/>
        <stp>ASK_SIZE</stp>
        <stp>BCR</stp>
        <tr r="I59" s="1"/>
      </tp>
      <tp>
        <v>0</v>
        <stp/>
        <stp>ASK_SIZE</stp>
        <stp>BDX</stp>
        <tr r="I60" s="1"/>
      </tp>
      <tp>
        <v>1</v>
        <stp/>
        <stp>ASK_SIZE</stp>
        <stp>BEN</stp>
        <tr r="I62" s="1"/>
      </tp>
      <tp>
        <v>0.26</v>
        <stp/>
        <stp>NET_CHANGE</stp>
        <stp>MPC</stp>
        <tr r="E311" s="1"/>
      </tp>
      <tp>
        <v>-0.02</v>
        <stp/>
        <stp>NET_CHANGE</stp>
        <stp>MSI</stp>
        <tr r="E316" s="1"/>
      </tp>
      <tp>
        <v>0.53</v>
        <stp/>
        <stp>NET_CHANGE</stp>
        <stp>MRO</stp>
        <tr r="E313" s="1"/>
      </tp>
      <tp>
        <v>0.03</v>
        <stp/>
        <stp>NET_CHANGE</stp>
        <stp>MRK</stp>
        <tr r="E312" s="1"/>
      </tp>
      <tp>
        <v>0.24</v>
        <stp/>
        <stp>NET_CHANGE</stp>
        <stp>MUR</stp>
        <tr r="E319" s="1"/>
      </tp>
      <tp>
        <v>0.7</v>
        <stp/>
        <stp>NET_CHANGE</stp>
        <stp>MTB</stp>
        <tr r="E317" s="1"/>
      </tp>
      <tp>
        <v>0</v>
        <stp/>
        <stp>NET_CHANGE</stp>
        <stp>MWV</stp>
        <tr r="E320" s="1"/>
      </tp>
      <tp>
        <v>0.09</v>
        <stp/>
        <stp>NET_CHANGE</stp>
        <stp>MYL</stp>
        <tr r="E321" s="1"/>
      </tp>
      <tp>
        <v>0.46</v>
        <stp/>
        <stp>NET_CHANGE</stp>
        <stp>MAT</stp>
        <tr r="E293" s="1"/>
      </tp>
      <tp>
        <v>0.22</v>
        <stp/>
        <stp>NET_CHANGE</stp>
        <stp>MAS</stp>
        <tr r="E292" s="1"/>
      </tp>
      <tp>
        <v>1.1000000000000001</v>
        <stp/>
        <stp>NET_CHANGE</stp>
        <stp>MAR</stp>
        <tr r="E291" s="1"/>
      </tp>
      <tp>
        <v>-0.45</v>
        <stp/>
        <stp>NET_CHANGE</stp>
        <stp>MAC</stp>
        <tr r="E290" s="1"/>
      </tp>
      <tp>
        <v>2.7</v>
        <stp/>
        <stp>NET_CHANGE</stp>
        <stp>MCO</stp>
        <tr r="E297" s="1"/>
      </tp>
      <tp>
        <v>-0.56999999999999995</v>
        <stp/>
        <stp>NET_CHANGE</stp>
        <stp>MCK</stp>
        <tr r="E296" s="1"/>
      </tp>
      <tp>
        <v>-1.37</v>
        <stp/>
        <stp>NET_CHANGE</stp>
        <stp>MCD</stp>
        <tr r="E294" s="1"/>
      </tp>
      <tp>
        <v>0.11</v>
        <stp/>
        <stp>NET_CHANGE</stp>
        <stp>MET</stp>
        <tr r="E300" s="1"/>
      </tp>
      <tp>
        <v>0.23</v>
        <stp/>
        <stp>NET_CHANGE</stp>
        <stp>MDT</stp>
        <tr r="E299" s="1"/>
      </tp>
      <tp t="s">
        <v>N/A</v>
        <stp/>
        <stp>NET_CHANGE</stp>
        <stp>MHP</stp>
        <tr r="E301" s="1"/>
      </tp>
      <tp>
        <v>-0.22</v>
        <stp/>
        <stp>NET_CHANGE</stp>
        <stp>MKC</stp>
        <tr r="E303" s="1"/>
      </tp>
      <tp>
        <v>0</v>
        <stp/>
        <stp>NET_CHANGE</stp>
        <stp>MJN</stp>
        <tr r="E302" s="1"/>
      </tp>
      <tp>
        <v>-0.06</v>
        <stp/>
        <stp>NET_CHANGE</stp>
        <stp>MMM</stp>
        <tr r="E305" s="1"/>
      </tp>
      <tp>
        <v>-0.56000000000000005</v>
        <stp/>
        <stp>NET_CHANGE</stp>
        <stp>MMC</stp>
        <tr r="E304" s="1"/>
      </tp>
      <tp>
        <v>0.46</v>
        <stp/>
        <stp>NET_CHANGE</stp>
        <stp>MOS</stp>
        <tr r="E310" s="1"/>
      </tp>
      <tp>
        <v>-0.27</v>
        <stp/>
        <stp>NET_CHANGE</stp>
        <stp>MON</stp>
        <tr r="E309" s="1"/>
      </tp>
      <tp t="s">
        <v>N/A</v>
        <stp/>
        <stp>STRENGTH_METER</stp>
        <stp>BRK-B</stp>
        <tr r="C73" s="1"/>
      </tp>
      <tp t="s">
        <v>Downtrend</v>
        <stp/>
        <stp>STRENGTH_METER</stp>
        <stp>ALXN</stp>
        <tr r="C31" s="1"/>
      </tp>
      <tp t="s">
        <v>Range Bound</v>
        <stp/>
        <stp>STRENGTH_METER</stp>
        <stp>DLPH</stp>
        <tr r="C140" s="1"/>
      </tp>
      <tp t="s">
        <v>N/A</v>
        <stp/>
        <stp>STRENGTH_METER</stp>
        <stp>LLTC</stp>
        <tr r="C275" s="1"/>
      </tp>
      <tp t="s">
        <v>N/A</v>
        <stp/>
        <stp>STRENGTH_METER</stp>
        <stp>ALTR</stp>
        <tr r="C30" s="1"/>
      </tp>
      <tp t="s">
        <v>Range Bound</v>
        <stp/>
        <stp>STRENGTH_METER</stp>
        <stp>DLTR</stp>
        <tr r="C141" s="1"/>
      </tp>
      <tp>
        <v>0</v>
        <stp/>
        <stp>VOLUME</stp>
        <stp>SPLS</stp>
        <tr r="J419" s="1"/>
      </tp>
      <tp>
        <v>0</v>
        <stp/>
        <stp>VOLUME</stp>
        <stp>APOL</stp>
        <tr r="J45" s="1"/>
      </tp>
      <tp t="s">
        <v>Range Bound</v>
        <stp/>
        <stp>STRENGTH_METER</stp>
        <stp>FLIR</stp>
        <tr r="C187" s="1"/>
      </tp>
      <tp t="s">
        <v>Range Bound</v>
        <stp/>
        <stp>STRENGTH_METER</stp>
        <stp>XLNX</stp>
        <tr r="C495" s="1"/>
      </tp>
      <tp t="s">
        <v>Range Bound</v>
        <stp/>
        <stp>STRENGTH_METER</stp>
        <stp>KLAC</stp>
        <tr r="C261" s="1"/>
      </tp>
      <tp>
        <v>1</v>
        <stp/>
        <stp>BID_SIZE</stp>
        <stp>GWW</stp>
        <tr r="H211" s="1"/>
      </tp>
      <tp>
        <v>3</v>
        <stp/>
        <stp>BID_SIZE</stp>
        <stp>GPS</stp>
        <tr r="H207" s="1"/>
      </tp>
      <tp>
        <v>1</v>
        <stp/>
        <stp>BID_SIZE</stp>
        <stp>GPC</stp>
        <tr r="H206" s="1"/>
      </tp>
      <tp>
        <v>1</v>
        <stp/>
        <stp>BID_SIZE</stp>
        <stp>GCI</stp>
        <tr r="H197" s="1"/>
      </tp>
      <tp>
        <v>0</v>
        <stp/>
        <stp>BID_SIZE</stp>
        <stp>GAS</stp>
        <tr r="H196" s="1"/>
      </tp>
      <tp>
        <v>3</v>
        <stp/>
        <stp>BID_SIZE</stp>
        <stp>GNW</stp>
        <tr r="H204" s="1"/>
      </tp>
      <tp>
        <v>2</v>
        <stp/>
        <stp>BID_SIZE</stp>
        <stp>GME</stp>
        <tr r="H203" s="1"/>
      </tp>
      <tp>
        <v>7</v>
        <stp/>
        <stp>BID_SIZE</stp>
        <stp>GLW</stp>
        <tr r="H202" s="1"/>
      </tp>
      <tp>
        <v>1</v>
        <stp/>
        <stp>BID_SIZE</stp>
        <stp>GIS</stp>
        <tr r="H201" s="1"/>
      </tp>
      <tp>
        <v>-1.02</v>
        <stp/>
        <stp>NET_CHANGE</stp>
        <stp>LSI</stp>
        <tr r="E283" s="1"/>
      </tp>
      <tp>
        <v>-0.56000000000000005</v>
        <stp/>
        <stp>NET_CHANGE</stp>
        <stp>LUV</stp>
        <tr r="E286" s="1"/>
      </tp>
      <tp>
        <v>0.08</v>
        <stp/>
        <stp>NET_CHANGE</stp>
        <stp>LUK</stp>
        <tr r="E285" s="1"/>
      </tp>
      <tp t="s">
        <v>N/A</v>
        <stp/>
        <stp>NET_CHANGE</stp>
        <stp>LTD</stp>
        <tr r="E284" s="1"/>
      </tp>
      <tp>
        <v>38.799999999999997</v>
        <stp/>
        <stp>HIGH</stp>
        <stp>XL</stp>
        <tr r="L494" s="1"/>
      </tp>
      <tp>
        <v>0.7</v>
        <stp/>
        <stp>NET_CHANGE</stp>
        <stp>LYB</stp>
        <tr r="E287" s="1"/>
      </tp>
      <tp>
        <v>45.77</v>
        <stp/>
        <stp>HIGH</stp>
        <stp>VZ</stp>
        <tr r="L473" s="1"/>
      </tp>
      <tp>
        <v>81.72</v>
        <stp/>
        <stp>HIGH</stp>
        <stp>WM</stp>
        <tr r="L483" s="1"/>
      </tp>
      <tp>
        <v>36.619999999999997</v>
        <stp/>
        <stp>HIGH</stp>
        <stp>WY</stp>
        <tr r="L489" s="1"/>
      </tp>
      <tp>
        <v>19.809999999999999</v>
        <stp/>
        <stp>HIGH</stp>
        <stp>WU</stp>
        <tr r="L488" s="1"/>
      </tp>
      <tp>
        <v>0</v>
        <stp/>
        <stp>HIGH</stp>
        <stp>TE</stp>
        <tr r="L436" s="1"/>
      </tp>
      <tp>
        <v>89.87</v>
        <stp/>
        <stp>HIGH</stp>
        <stp>RL</stp>
        <tr r="L395" s="1"/>
      </tp>
      <tp>
        <v>15.89</v>
        <stp/>
        <stp>HIGH</stp>
        <stp>RF</stp>
        <tr r="L392" s="1"/>
      </tp>
      <tp>
        <v>51.63</v>
        <stp/>
        <stp>HIGH</stp>
        <stp>SO</stp>
        <tr r="L417" s="1"/>
      </tp>
      <tp>
        <v>15.62</v>
        <stp/>
        <stp>HIGH</stp>
        <stp>SE</stp>
        <tr r="L407" s="1"/>
      </tp>
      <tp>
        <v>103.01</v>
        <stp/>
        <stp>HIGH</stp>
        <stp>PM</stp>
        <tr r="L371" s="1"/>
      </tp>
      <tp>
        <v>182.52</v>
        <stp/>
        <stp>HIGH</stp>
        <stp>PH</stp>
        <tr r="L366" s="1"/>
      </tp>
      <tp>
        <v>89.09</v>
        <stp/>
        <stp>HIGH</stp>
        <stp>PG</stp>
        <tr r="L364" s="1"/>
      </tp>
      <tp>
        <v>151.44</v>
        <stp/>
        <stp>HIGH</stp>
        <stp>PX</stp>
        <tr r="L384" s="1"/>
      </tp>
      <tp>
        <v>27.45</v>
        <stp/>
        <stp>HIGH</stp>
        <stp>NI</stp>
        <tr r="L330" s="1"/>
      </tp>
      <tp>
        <v>4.24</v>
        <stp/>
        <stp>HIGH</stp>
        <stp>NE</stp>
        <tr r="L325" s="1"/>
      </tp>
      <tp>
        <v>0</v>
        <stp/>
        <stp>HIGH</stp>
        <stp>NU</stp>
        <tr r="L338" s="1"/>
      </tp>
      <tp>
        <v>23.22</v>
        <stp/>
        <stp>HIGH</stp>
        <stp>OI</stp>
        <tr r="L344" s="1"/>
      </tp>
      <tp>
        <v>0</v>
        <stp/>
        <stp>HIGH</stp>
        <stp>LO</stp>
        <tr r="L280" s="1"/>
      </tp>
      <tp>
        <v>38.14</v>
        <stp/>
        <stp>HIGH</stp>
        <stp>LM</stp>
        <tr r="L277" s="1"/>
      </tp>
      <tp>
        <v>151.19</v>
        <stp/>
        <stp>HIGH</stp>
        <stp>LH</stp>
        <tr r="L272" s="1"/>
      </tp>
      <tp>
        <v>66.5</v>
        <stp/>
        <stp>HIGH</stp>
        <stp>MO</stp>
        <tr r="L307" s="1"/>
      </tp>
      <tp>
        <v>149.52000000000001</v>
        <stp/>
        <stp>HIGH</stp>
        <stp>MA</stp>
        <tr r="L289" s="1"/>
      </tp>
      <tp>
        <v>46.55</v>
        <stp/>
        <stp>HIGH</stp>
        <stp>MU</stp>
        <tr r="L318" s="1"/>
      </tp>
      <tp>
        <v>48.895000000000003</v>
        <stp/>
        <stp>HIGH</stp>
        <stp>MS</stp>
        <tr r="L314" s="1"/>
      </tp>
      <tp>
        <v>0.8</v>
        <stp/>
        <stp>NET_CHANGE</stp>
        <stp>LEN</stp>
        <tr r="E271" s="1"/>
      </tp>
      <tp>
        <v>0.46</v>
        <stp/>
        <stp>NET_CHANGE</stp>
        <stp>LEG</stp>
        <tr r="E270" s="1"/>
      </tp>
      <tp>
        <v>46.38</v>
        <stp/>
        <stp>HIGH</stp>
        <stp>KO</stp>
        <tr r="L265" s="1"/>
      </tp>
      <tp>
        <v>23.47</v>
        <stp/>
        <stp>HIGH</stp>
        <stp>KR</stp>
        <tr r="L266" s="1"/>
      </tp>
      <tp>
        <v>168.43</v>
        <stp/>
        <stp>HIGH</stp>
        <stp>HD</stp>
        <tr r="L219" s="1"/>
      </tp>
      <tp>
        <v>56</v>
        <stp/>
        <stp>HIGH</stp>
        <stp>HP</stp>
        <tr r="L226" s="1"/>
      </tp>
      <tp>
        <v>85.31</v>
        <stp/>
        <stp>HIGH</stp>
        <stp>IR</stp>
        <tr r="L243" s="1"/>
      </tp>
      <tp>
        <v>54.38</v>
        <stp/>
        <stp>HIGH</stp>
        <stp>IP</stp>
        <tr r="L241" s="1"/>
      </tp>
      <tp>
        <v>35.020000000000003</v>
        <stp/>
        <stp>HIGH</stp>
        <stp>FE</stp>
        <tr r="L181" s="1"/>
      </tp>
      <tp>
        <v>199.56</v>
        <stp/>
        <stp>HIGH</stp>
        <stp>GD</stp>
        <tr r="L198" s="1"/>
      </tp>
      <tp>
        <v>18.47</v>
        <stp/>
        <stp>HIGH</stp>
        <stp>GE</stp>
        <tr r="L199" s="1"/>
      </tp>
      <tp>
        <v>29.995000000000001</v>
        <stp/>
        <stp>HIGH</stp>
        <stp>GT</stp>
        <tr r="L210" s="1"/>
      </tp>
      <tp>
        <v>239.08</v>
        <stp/>
        <stp>HIGH</stp>
        <stp>GS</stp>
        <tr r="L209" s="1"/>
      </tp>
      <tp>
        <v>16.190000000000001</v>
        <stp/>
        <stp>HIGH</stp>
        <stp>DO</stp>
        <tr r="L144" s="1"/>
      </tp>
      <tp>
        <v>10.085000000000001</v>
        <stp/>
        <stp>HIGH</stp>
        <stp>DF</stp>
        <tr r="L132" s="1"/>
      </tp>
      <tp>
        <v>85.52</v>
        <stp/>
        <stp>HIGH</stp>
        <stp>DG</stp>
        <tr r="L134" s="1"/>
      </tp>
      <tp>
        <v>0</v>
        <stp/>
        <stp>HIGH</stp>
        <stp>DD</stp>
        <tr r="L129" s="1"/>
      </tp>
      <tp>
        <v>136.51</v>
        <stp/>
        <stp>HIGH</stp>
        <stp>DE</stp>
        <tr r="L130" s="1"/>
      </tp>
      <tp>
        <v>126.16</v>
        <stp/>
        <stp>HIGH</stp>
        <stp>EL</stp>
        <tr r="L160" s="1"/>
      </tp>
      <tp>
        <v>87.36</v>
        <stp/>
        <stp>HIGH</stp>
        <stp>ED</stp>
        <tr r="L157" s="1"/>
      </tp>
      <tp>
        <v>109.55</v>
        <stp/>
        <stp>HIGH</stp>
        <stp>EA</stp>
        <tr r="L154" s="1"/>
      </tp>
      <tp>
        <v>107.76</v>
        <stp/>
        <stp>HIGH</stp>
        <stp>EW</stp>
        <tr r="L172" s="1"/>
      </tp>
      <tp>
        <v>-2.95</v>
        <stp/>
        <stp>NET_CHANGE</stp>
        <stp>LMT</stp>
        <tr r="E278" s="1"/>
      </tp>
      <tp>
        <v>52.8</v>
        <stp/>
        <stp>HIGH</stp>
        <stp>BK</stp>
        <tr r="L66" s="1"/>
      </tp>
      <tp>
        <v>263.74</v>
        <stp/>
        <stp>HIGH</stp>
        <stp>BA</stp>
        <tr r="L53" s="1"/>
      </tp>
      <tp>
        <v>-0.55000000000000004</v>
        <stp/>
        <stp>NET_CHANGE</stp>
        <stp>LLY</stp>
        <tr r="E276" s="1"/>
      </tp>
      <tp>
        <v>-0.8</v>
        <stp/>
        <stp>NET_CHANGE</stp>
        <stp>LLL</stp>
        <tr r="E274" s="1"/>
      </tp>
      <tp>
        <v>72.62</v>
        <stp/>
        <stp>HIGH</stp>
        <stp>CL</stp>
        <tr r="L98" s="1"/>
      </tp>
      <tp>
        <v>200.21</v>
        <stp/>
        <stp>HIGH</stp>
        <stp>CI</stp>
        <tr r="L96" s="1"/>
      </tp>
      <tp>
        <v>36.04</v>
        <stp/>
        <stp>HIGH</stp>
        <stp>CF</stp>
        <tr r="L92" s="1"/>
      </tp>
      <tp>
        <v>149.16</v>
        <stp/>
        <stp>HIGH</stp>
        <stp>CB</stp>
        <tr r="L84" s="1"/>
      </tp>
      <tp>
        <v>32.619999999999997</v>
        <stp/>
        <stp>HIGH</stp>
        <stp>CA</stp>
        <tr r="L79" s="1"/>
      </tp>
      <tp>
        <v>0.75</v>
        <stp/>
        <stp>NET_CHANGE</stp>
        <stp>LOW</stp>
        <tr r="E281" s="1"/>
      </tp>
      <tp>
        <v>0.27</v>
        <stp/>
        <stp>NET_CHANGE</stp>
        <stp>LNC</stp>
        <tr r="E279" s="1"/>
      </tp>
      <tp>
        <v>52.74</v>
        <stp/>
        <stp>HIGH</stp>
        <stp>AN</stp>
        <tr r="L38" s="1"/>
      </tp>
      <tp>
        <v>43.6</v>
        <stp/>
        <stp>HIGH</stp>
        <stp>AA</stp>
        <tr r="L5" s="1"/>
      </tp>
      <tp t="s">
        <v>Uptrend</v>
        <stp/>
        <stp>STRENGTH_METER</stp>
        <stp>AMZN</stp>
        <tr r="C37" s="1"/>
      </tp>
      <tp t="s">
        <v>Range Bound</v>
        <stp/>
        <stp>STRENGTH_METER</stp>
        <stp>AMAT</stp>
        <tr r="C32" s="1"/>
      </tp>
      <tp t="s">
        <v>Range Bound</v>
        <stp/>
        <stp>STRENGTH_METER</stp>
        <stp>AMGN</stp>
        <tr r="C34" s="1"/>
      </tp>
      <tp>
        <v>1</v>
        <stp/>
        <stp>BID_SIZE</stp>
        <stp>FTR</stp>
        <tr r="H195" s="1"/>
      </tp>
      <tp>
        <v>23</v>
        <stp/>
        <stp>BID_SIZE</stp>
        <stp>FTI</stp>
        <tr r="H194" s="1"/>
      </tp>
      <tp>
        <v>0</v>
        <stp/>
        <stp>BID_SIZE</stp>
        <stp>FRX</stp>
        <tr r="H192" s="1"/>
      </tp>
      <tp>
        <v>1</v>
        <stp/>
        <stp>BID_SIZE</stp>
        <stp>FDX</stp>
        <tr r="H180" s="1"/>
      </tp>
      <tp>
        <v>0</v>
        <stp/>
        <stp>BID_SIZE</stp>
        <stp>FDO</stp>
        <tr r="H179" s="1"/>
      </tp>
      <tp>
        <v>7</v>
        <stp/>
        <stp>BID_SIZE</stp>
        <stp>FCX</stp>
        <tr r="H178" s="1"/>
      </tp>
      <tp>
        <v>1</v>
        <stp/>
        <stp>BID_SIZE</stp>
        <stp>FMC</stp>
        <tr r="H190" s="1"/>
      </tp>
      <tp>
        <v>5</v>
        <stp/>
        <stp>BID_SIZE</stp>
        <stp>FLR</stp>
        <tr r="H188" s="1"/>
      </tp>
      <tp>
        <v>1</v>
        <stp/>
        <stp>BID_SIZE</stp>
        <stp>FLS</stp>
        <tr r="H189" s="1"/>
      </tp>
      <tp>
        <v>1</v>
        <stp/>
        <stp>BID_SIZE</stp>
        <stp>FIS</stp>
        <tr r="H184" s="1"/>
      </tp>
      <tp>
        <v>1</v>
        <stp/>
        <stp>BID_SIZE</stp>
        <stp>FHN</stp>
        <tr r="H183" s="1"/>
      </tp>
      <tp>
        <v>1.23</v>
        <stp/>
        <stp>NET_CHANGE</stp>
        <stp>OXY</stp>
        <tr r="E349" s="1"/>
      </tp>
      <tp>
        <v>0.02</v>
        <stp/>
        <stp>NET_CHANGE</stp>
        <stp>OKE</stp>
        <tr r="E345" s="1"/>
      </tp>
      <tp>
        <v>1.99</v>
        <stp/>
        <stp>NET_CHANGE</stp>
        <stp>OMC</stp>
        <tr r="E346" s="1"/>
      </tp>
      <tp t="s">
        <v>Uptrend</v>
        <stp/>
        <stp>STRENGTH_METER</stp>
        <stp>MNST</stp>
        <tr r="C306" s="1"/>
      </tp>
      <tp t="s">
        <v>Range Bound</v>
        <stp/>
        <stp>STRENGTH_METER</stp>
        <stp>JNPR</stp>
        <tr r="C254" s="1"/>
      </tp>
      <tp>
        <v>2327183</v>
        <stp/>
        <stp>VOLUME</stp>
        <stp>VRSN</stp>
        <tr r="J471" s="1"/>
      </tp>
      <tp t="s">
        <v>Range Bound</v>
        <stp/>
        <stp>STRENGTH_METER</stp>
        <stp>INTC</stp>
        <tr r="C239" s="1"/>
      </tp>
      <tp t="s">
        <v>Range Bound</v>
        <stp/>
        <stp>STRENGTH_METER</stp>
        <stp>INTU</stp>
        <tr r="C240" s="1"/>
      </tp>
      <tp>
        <v>1059725</v>
        <stp/>
        <stp>VOLUME</stp>
        <stp>GRMN</stp>
        <tr r="J208" s="1"/>
      </tp>
      <tp>
        <v>753086</v>
        <stp/>
        <stp>VOLUME</stp>
        <stp>ORLY</stp>
        <tr r="J348" s="1"/>
      </tp>
      <tp>
        <v>839151</v>
        <stp/>
        <stp>VOLUME</stp>
        <stp>TROW</stp>
        <tr r="J447" s="1"/>
      </tp>
      <tp>
        <v>3256896</v>
        <stp/>
        <stp>VOLUME</stp>
        <stp>TRIP</stp>
        <tr r="J446" s="1"/>
      </tp>
      <tp>
        <v>1185708</v>
        <stp/>
        <stp>VOLUME</stp>
        <stp>PRGO</stp>
        <tr r="J378" s="1"/>
      </tp>
      <tp>
        <v>0</v>
        <stp/>
        <stp>VOLUME</stp>
        <stp>KRFT</stp>
        <tr r="J267" s="1"/>
      </tp>
      <tp>
        <v>1390550</v>
        <stp/>
        <stp>VOLUME</stp>
        <stp>XRAY</stp>
        <tr r="J497" s="1"/>
      </tp>
      <tp>
        <v>0</v>
        <stp/>
        <stp>VOLUME</stp>
        <stp>BRCM</stp>
        <tr r="J72" s="1"/>
      </tp>
      <tp>
        <v>850229</v>
        <stp/>
        <stp>VOLUME</stp>
        <stp>SRCL</stp>
        <tr r="J420" s="1"/>
      </tp>
      <tp>
        <v>9965493</v>
        <stp/>
        <stp>VOLUME</stp>
        <stp>ORCL</stp>
        <tr r="J347" s="1"/>
      </tp>
      <tp>
        <v>1946353</v>
        <stp/>
        <stp>VOLUME</stp>
        <stp>LRCX</stp>
        <tr r="J282" s="1"/>
      </tp>
      <tp t="s">
        <v>N/A</v>
        <stp/>
        <stp>STRENGTH_METER</stp>
        <stp>SNDK</stp>
        <tr r="C415" s="1"/>
      </tp>
      <tp>
        <v>9601548</v>
        <stp/>
        <stp>VOLUME</stp>
        <stp>URBN</stp>
        <tr r="J461" s="1"/>
      </tp>
      <tp>
        <v>2</v>
        <stp/>
        <stp>BID_SIZE</stp>
        <stp>ETR</stp>
        <tr r="H171" s="1"/>
      </tp>
      <tp>
        <v>1</v>
        <stp/>
        <stp>BID_SIZE</stp>
        <stp>ETN</stp>
        <tr r="H170" s="1"/>
      </tp>
      <tp>
        <v>10</v>
        <stp/>
        <stp>BID_SIZE</stp>
        <stp>ESV</stp>
        <tr r="H168" s="1"/>
      </tp>
      <tp>
        <v>1</v>
        <stp/>
        <stp>BID_SIZE</stp>
        <stp>EQT</stp>
        <tr r="H166" s="1"/>
      </tp>
      <tp>
        <v>1</v>
        <stp/>
        <stp>BID_SIZE</stp>
        <stp>EQR</stp>
        <tr r="H165" s="1"/>
      </tp>
      <tp>
        <v>1</v>
        <stp/>
        <stp>BID_SIZE</stp>
        <stp>EXC</stp>
        <tr r="H173" s="1"/>
      </tp>
      <tp>
        <v>2</v>
        <stp/>
        <stp>BID_SIZE</stp>
        <stp>EFX</stp>
        <tr r="H158" s="1"/>
      </tp>
      <tp>
        <v>1</v>
        <stp/>
        <stp>BID_SIZE</stp>
        <stp>ECL</stp>
        <tr r="H156" s="1"/>
      </tp>
      <tp>
        <v>1</v>
        <stp/>
        <stp>BID_SIZE</stp>
        <stp>EOG</stp>
        <tr r="H164" s="1"/>
      </tp>
      <tp>
        <v>2</v>
        <stp/>
        <stp>BID_SIZE</stp>
        <stp>EMR</stp>
        <tr r="H163" s="1"/>
      </tp>
      <tp>
        <v>0</v>
        <stp/>
        <stp>BID_SIZE</stp>
        <stp>EMC</stp>
        <tr r="H161" s="1"/>
      </tp>
      <tp>
        <v>1</v>
        <stp/>
        <stp>BID_SIZE</stp>
        <stp>EMN</stp>
        <tr r="H162" s="1"/>
      </tp>
      <tp>
        <v>0</v>
        <stp/>
        <stp>BID_SIZE</stp>
        <stp>EIX</stp>
        <tr r="H159" s="1"/>
      </tp>
      <tp>
        <v>-1.68</v>
        <stp/>
        <stp>NET_CHANGE</stp>
        <stp>NSC</stp>
        <tr r="E335" s="1"/>
      </tp>
      <tp>
        <v>0.05</v>
        <stp/>
        <stp>NET_CHANGE</stp>
        <stp>NRG</stp>
        <tr r="E334" s="1"/>
      </tp>
      <tp>
        <v>0.01</v>
        <stp/>
        <stp>NET_CHANGE</stp>
        <stp>NUE</stp>
        <tr r="E339" s="1"/>
      </tp>
      <tp>
        <v>0.38</v>
        <stp/>
        <stp>NET_CHANGE</stp>
        <stp>NWL</stp>
        <tr r="E341" s="1"/>
      </tp>
      <tp t="s">
        <v>N/A</v>
        <stp/>
        <stp>NET_CHANGE</stp>
        <stp>NYX</stp>
        <tr r="E343" s="1"/>
      </tp>
      <tp>
        <v>0.11</v>
        <stp/>
        <stp>NET_CHANGE</stp>
        <stp>NBR</stp>
        <tr r="E323" s="1"/>
      </tp>
      <tp>
        <v>0.16</v>
        <stp/>
        <stp>NET_CHANGE</stp>
        <stp>NBL</stp>
        <tr r="E322" s="1"/>
      </tp>
      <tp>
        <v>0.12</v>
        <stp/>
        <stp>NET_CHANGE</stp>
        <stp>NEM</stp>
        <tr r="E327" s="1"/>
      </tp>
      <tp>
        <v>-1.25</v>
        <stp/>
        <stp>NET_CHANGE</stp>
        <stp>NEE</stp>
        <tr r="E326" s="1"/>
      </tp>
      <tp>
        <v>0.86</v>
        <stp/>
        <stp>NET_CHANGE</stp>
        <stp>NFX</stp>
        <tr r="E329" s="1"/>
      </tp>
      <tp>
        <v>1.96</v>
        <stp/>
        <stp>NET_CHANGE</stp>
        <stp>NKE</stp>
        <tr r="E331" s="1"/>
      </tp>
      <tp>
        <v>0.51</v>
        <stp/>
        <stp>NET_CHANGE</stp>
        <stp>NOV</stp>
        <tr r="E333" s="1"/>
      </tp>
      <tp>
        <v>-3.7</v>
        <stp/>
        <stp>NET_CHANGE</stp>
        <stp>NOC</stp>
        <tr r="E332" s="1"/>
      </tp>
      <tp t="s">
        <v>Downtrend</v>
        <stp/>
        <stp>STRENGTH_METER</stp>
        <stp>FOSL</stp>
        <tr r="C191" s="1"/>
      </tp>
      <tp t="s">
        <v>Uptrend</v>
        <stp/>
        <stp>STRENGTH_METER</stp>
        <stp>ROST</stp>
        <tr r="C398" s="1"/>
      </tp>
      <tp t="s">
        <v>Range Bound</v>
        <stp/>
        <stp>STRENGTH_METER</stp>
        <stp>COST</stp>
        <tr r="C114" s="1"/>
      </tp>
      <tp>
        <v>550473</v>
        <stp/>
        <stp>VOLUME</stp>
        <stp>ISRG</stp>
        <tr r="J245" s="1"/>
      </tp>
      <tp>
        <v>3036628</v>
        <stp/>
        <stp>VOLUME</stp>
        <stp>ESRX</stp>
        <tr r="J167" s="1"/>
      </tp>
      <tp>
        <v>1314185</v>
        <stp/>
        <stp>VOLUME</stp>
        <stp>FSLR</stp>
        <tr r="J193" s="1"/>
      </tp>
      <tp t="s">
        <v>Range Bound</v>
        <stp/>
        <stp>STRENGTH_METER</stp>
        <stp>GOOG</stp>
        <tr r="C205" s="1"/>
      </tp>
      <tp t="s">
        <v>N/A</v>
        <stp/>
        <stp>STRENGTH_METER</stp>
        <stp>MOLX</stp>
        <tr r="C308" s="1"/>
      </tp>
      <tp>
        <v>21870500</v>
        <stp/>
        <stp>VOLUME</stp>
        <stp>MSFT</stp>
        <tr r="J315" s="1"/>
      </tp>
      <tp>
        <v>27513936</v>
        <stp/>
        <stp>VOLUME</stp>
        <stp>CSCO</stp>
        <tr r="J119" s="1"/>
      </tp>
      <tp>
        <v>1</v>
        <stp/>
        <stp>BID_SIZE</stp>
        <stp>DVA</stp>
        <tr r="H152" s="1"/>
      </tp>
      <tp>
        <v>1</v>
        <stp/>
        <stp>BID_SIZE</stp>
        <stp>DVN</stp>
        <tr r="H153" s="1"/>
      </tp>
      <tp>
        <v>1</v>
        <stp/>
        <stp>BID_SIZE</stp>
        <stp>DUK</stp>
        <tr r="H151" s="1"/>
      </tp>
      <tp>
        <v>1</v>
        <stp/>
        <stp>BID_SIZE</stp>
        <stp>DTV</stp>
        <tr r="H150" s="1"/>
      </tp>
      <tp>
        <v>1</v>
        <stp/>
        <stp>BID_SIZE</stp>
        <stp>DTE</stp>
        <tr r="H149" s="1"/>
      </tp>
      <tp>
        <v>1</v>
        <stp/>
        <stp>BID_SIZE</stp>
        <stp>DRI</stp>
        <tr r="H148" s="1"/>
      </tp>
      <tp>
        <v>4</v>
        <stp/>
        <stp>BID_SIZE</stp>
        <stp>DPS</stp>
        <tr r="H147" s="1"/>
      </tp>
      <tp>
        <v>9</v>
        <stp/>
        <stp>BID_SIZE</stp>
        <stp>DGX</stp>
        <tr r="H135" s="1"/>
      </tp>
      <tp>
        <v>30</v>
        <stp/>
        <stp>BID_SIZE</stp>
        <stp>DFS</stp>
        <tr r="H133" s="1"/>
      </tp>
      <tp>
        <v>17</v>
        <stp/>
        <stp>BID_SIZE</stp>
        <stp>DOV</stp>
        <tr r="H145" s="1"/>
      </tp>
      <tp>
        <v>0</v>
        <stp/>
        <stp>BID_SIZE</stp>
        <stp>DOW</stp>
        <tr r="H146" s="1"/>
      </tp>
      <tp>
        <v>6</v>
        <stp/>
        <stp>BID_SIZE</stp>
        <stp>DNR</stp>
        <tr r="H143" s="1"/>
      </tp>
      <tp>
        <v>1</v>
        <stp/>
        <stp>BID_SIZE</stp>
        <stp>DNB</stp>
        <tr r="H142" s="1"/>
      </tp>
      <tp>
        <v>1</v>
        <stp/>
        <stp>BID_SIZE</stp>
        <stp>DIS</stp>
        <tr r="H138" s="1"/>
      </tp>
      <tp>
        <v>1</v>
        <stp/>
        <stp>BID_SIZE</stp>
        <stp>DHR</stp>
        <tr r="H137" s="1"/>
      </tp>
      <tp>
        <v>3</v>
        <stp/>
        <stp>BID_SIZE</stp>
        <stp>DHI</stp>
        <tr r="H136" s="1"/>
      </tp>
      <tp>
        <v>0.39</v>
        <stp/>
        <stp>NET_CHANGE</stp>
        <stp>IPG</stp>
        <tr r="E242" s="1"/>
      </tp>
      <tp>
        <v>-0.05</v>
        <stp/>
        <stp>NET_CHANGE</stp>
        <stp>IRM</stp>
        <tr r="E244" s="1"/>
      </tp>
      <tp>
        <v>-0.78</v>
        <stp/>
        <stp>NET_CHANGE</stp>
        <stp>ITW</stp>
        <tr r="E246" s="1"/>
      </tp>
      <tp>
        <v>0.41</v>
        <stp/>
        <stp>NET_CHANGE</stp>
        <stp>IVZ</stp>
        <tr r="E247" s="1"/>
      </tp>
      <tp>
        <v>0.51</v>
        <stp/>
        <stp>NET_CHANGE</stp>
        <stp>ICE</stp>
        <tr r="E236" s="1"/>
      </tp>
      <tp>
        <v>-0.15</v>
        <stp/>
        <stp>NET_CHANGE</stp>
        <stp>IBM</stp>
        <tr r="E235" s="1"/>
      </tp>
      <tp>
        <v>-0.26</v>
        <stp/>
        <stp>NET_CHANGE</stp>
        <stp>IGT</stp>
        <tr r="E238" s="1"/>
      </tp>
      <tp>
        <v>0.16</v>
        <stp/>
        <stp>NET_CHANGE</stp>
        <stp>IFF</stp>
        <tr r="E237" s="1"/>
      </tp>
      <tp>
        <v>45.4</v>
        <stp/>
        <stp>Mark</stp>
        <stp>VZ</stp>
        <tr r="P473" s="1"/>
      </tp>
      <tp>
        <v>36.28</v>
        <stp/>
        <stp>Mark</stp>
        <stp>WY</stp>
        <tr r="P489" s="1"/>
      </tp>
      <tp>
        <v>19.68</v>
        <stp/>
        <stp>Mark</stp>
        <stp>WU</stp>
        <tr r="P488" s="1"/>
      </tp>
      <tp>
        <v>80.650000000000006</v>
        <stp/>
        <stp>Mark</stp>
        <stp>WM</stp>
        <tr r="P483" s="1"/>
      </tp>
      <tp>
        <v>27.64</v>
        <stp/>
        <stp>Mark</stp>
        <stp>TE</stp>
        <tr r="P436" s="1"/>
      </tp>
      <tp>
        <v>89.11</v>
        <stp/>
        <stp>Mark</stp>
        <stp>RL</stp>
        <tr r="P395" s="1"/>
      </tp>
      <tp>
        <v>15.8</v>
        <stp/>
        <stp>Mark</stp>
        <stp>RF</stp>
        <tr r="P392" s="1"/>
      </tp>
      <tp>
        <v>50.97</v>
        <stp/>
        <stp>Mark</stp>
        <stp>SO</stp>
        <tr r="P417" s="1"/>
      </tp>
      <tp>
        <v>15</v>
        <stp/>
        <stp>Mark</stp>
        <stp>SE</stp>
        <tr r="P407" s="1"/>
      </tp>
      <tp>
        <v>150.63999999999999</v>
        <stp/>
        <stp>Mark</stp>
        <stp>PX</stp>
        <tr r="P384" s="1"/>
      </tp>
      <tp>
        <v>182.34</v>
        <stp/>
        <stp>Mark</stp>
        <stp>PH</stp>
        <tr r="P366" s="1"/>
      </tp>
      <tp>
        <v>102.64</v>
        <stp/>
        <stp>Mark</stp>
        <stp>PM</stp>
        <tr r="P371" s="1"/>
      </tp>
      <tp>
        <v>88.43</v>
        <stp/>
        <stp>Mark</stp>
        <stp>PG</stp>
        <tr r="P364" s="1"/>
      </tp>
      <tp>
        <v>38.630000000000003</v>
        <stp/>
        <stp>Mark</stp>
        <stp>XL</stp>
        <tr r="P494" s="1"/>
      </tp>
      <tp>
        <v>34.65</v>
        <stp/>
        <stp>Mark</stp>
        <stp>FE</stp>
        <tr r="P181" s="1"/>
      </tp>
      <tp>
        <v>238.02</v>
        <stp/>
        <stp>Mark</stp>
        <stp>GS</stp>
        <tr r="P209" s="1"/>
      </tp>
      <tp>
        <v>29.94</v>
        <stp/>
        <stp>Mark</stp>
        <stp>GT</stp>
        <tr r="P210" s="1"/>
      </tp>
      <tp>
        <v>18.23</v>
        <stp/>
        <stp>Mark</stp>
        <stp>GE</stp>
        <tr r="P199" s="1"/>
      </tp>
      <tp>
        <v>197.77</v>
        <stp/>
        <stp>Mark</stp>
        <stp>GD</stp>
        <tr r="P198" s="1"/>
      </tp>
      <tp>
        <v>16.059999999999999</v>
        <stp/>
        <stp>Mark</stp>
        <stp>DO</stp>
        <tr r="P144" s="1"/>
      </tp>
      <tp>
        <v>85.5</v>
        <stp/>
        <stp>Mark</stp>
        <stp>DG</stp>
        <tr r="P134" s="1"/>
      </tp>
      <tp>
        <v>9.98</v>
        <stp/>
        <stp>Mark</stp>
        <stp>DF</stp>
        <tr r="P132" s="1"/>
      </tp>
      <tp>
        <v>135.77000000000001</v>
        <stp/>
        <stp>Mark</stp>
        <stp>DE</stp>
        <tr r="P130" s="1"/>
      </tp>
      <tp>
        <v>84.33</v>
        <stp/>
        <stp>Mark</stp>
        <stp>DD</stp>
        <tr r="P129" s="1"/>
      </tp>
      <tp>
        <v>107.09</v>
        <stp/>
        <stp>Mark</stp>
        <stp>EW</stp>
        <tr r="P172" s="1"/>
      </tp>
      <tp>
        <v>124.69</v>
        <stp/>
        <stp>Mark</stp>
        <stp>EL</stp>
        <tr r="P160" s="1"/>
      </tp>
      <tp>
        <v>108.82</v>
        <stp/>
        <stp>Mark</stp>
        <stp>EA</stp>
        <tr r="P154" s="1"/>
      </tp>
      <tp>
        <v>86.53</v>
        <stp/>
        <stp>Mark</stp>
        <stp>ED</stp>
        <tr r="P157" s="1"/>
      </tp>
      <tp>
        <v>52.47</v>
        <stp/>
        <stp>Mark</stp>
        <stp>BK</stp>
        <tr r="P66" s="1"/>
      </tp>
      <tp>
        <v>262.35000000000002</v>
        <stp/>
        <stp>Mark</stp>
        <stp>BA</stp>
        <tr r="P53" s="1"/>
      </tp>
      <tp>
        <v>197.97</v>
        <stp/>
        <stp>Mark</stp>
        <stp>CI</stp>
        <tr r="P96" s="1"/>
      </tp>
      <tp>
        <v>71.89</v>
        <stp/>
        <stp>Mark</stp>
        <stp>CL</stp>
        <tr r="P98" s="1"/>
      </tp>
      <tp>
        <v>148.63</v>
        <stp/>
        <stp>Mark</stp>
        <stp>CB</stp>
        <tr r="P84" s="1"/>
      </tp>
      <tp>
        <v>32.51</v>
        <stp/>
        <stp>Mark</stp>
        <stp>CA</stp>
        <tr r="P79" s="1"/>
      </tp>
      <tp>
        <v>35.479999999999997</v>
        <stp/>
        <stp>Mark</stp>
        <stp>CF</stp>
        <tr r="P92" s="1"/>
      </tp>
      <tp>
        <v>51.72</v>
        <stp/>
        <stp>Mark</stp>
        <stp>AN</stp>
        <tr r="P38" s="1"/>
      </tp>
      <tp>
        <v>43.4</v>
        <stp/>
        <stp>Mark</stp>
        <stp>AA</stp>
        <tr r="P5" s="1"/>
      </tp>
      <tp>
        <v>137.15</v>
        <stp/>
        <stp>Mark</stp>
        <stp>NU</stp>
        <tr r="P338" s="1"/>
      </tp>
      <tp>
        <v>27.08</v>
        <stp/>
        <stp>Mark</stp>
        <stp>NI</stp>
        <tr r="P330" s="1"/>
      </tp>
      <tp>
        <v>4.16</v>
        <stp/>
        <stp>Mark</stp>
        <stp>NE</stp>
        <tr r="P325" s="1"/>
      </tp>
      <tp>
        <v>23.16</v>
        <stp/>
        <stp>Mark</stp>
        <stp>OI</stp>
        <tr r="P344" s="1"/>
      </tp>
      <tp>
        <v>150.36000000000001</v>
        <stp/>
        <stp>Mark</stp>
        <stp>LH</stp>
        <tr r="P272" s="1"/>
      </tp>
      <tp>
        <v>110.33</v>
        <stp/>
        <stp>Mark</stp>
        <stp>LO</stp>
        <tr r="P280" s="1"/>
      </tp>
      <tp>
        <v>37.82</v>
        <stp/>
        <stp>Mark</stp>
        <stp>LM</stp>
        <tr r="P277" s="1"/>
      </tp>
      <tp>
        <v>48.7</v>
        <stp/>
        <stp>Mark</stp>
        <stp>MS</stp>
        <tr r="P314" s="1"/>
      </tp>
      <tp>
        <v>46.12</v>
        <stp/>
        <stp>Mark</stp>
        <stp>MU</stp>
        <tr r="P318" s="1"/>
      </tp>
      <tp>
        <v>66.42</v>
        <stp/>
        <stp>Mark</stp>
        <stp>MO</stp>
        <tr r="P307" s="1"/>
      </tp>
      <tp>
        <v>149.02000000000001</v>
        <stp/>
        <stp>Mark</stp>
        <stp>MA</stp>
        <tr r="P289" s="1"/>
      </tp>
      <tp>
        <v>23.41</v>
        <stp/>
        <stp>Mark</stp>
        <stp>KR</stp>
        <tr r="P266" s="1"/>
      </tp>
      <tp>
        <v>45.71</v>
        <stp/>
        <stp>Mark</stp>
        <stp>KO</stp>
        <tr r="P265" s="1"/>
      </tp>
      <tp>
        <v>55.68</v>
        <stp/>
        <stp>Mark</stp>
        <stp>HP</stp>
        <tr r="P226" s="1"/>
      </tp>
      <tp>
        <v>167.66</v>
        <stp/>
        <stp>Mark</stp>
        <stp>HD</stp>
        <tr r="P219" s="1"/>
      </tp>
      <tp>
        <v>85.12</v>
        <stp/>
        <stp>Mark</stp>
        <stp>IR</stp>
        <tr r="P243" s="1"/>
      </tp>
      <tp>
        <v>54.21</v>
        <stp/>
        <stp>Mark</stp>
        <stp>IP</stp>
        <tr r="P241" s="1"/>
      </tp>
      <tp>
        <v>2118427</v>
        <stp/>
        <stp>VOLUME</stp>
        <stp>CTXS</stp>
        <tr r="J124" s="1"/>
      </tp>
      <tp t="s">
        <v>Range Bound</v>
        <stp/>
        <stp>STRENGTH_METER</stp>
        <stp>CHRW</stp>
        <tr r="C95" s="1"/>
      </tp>
      <tp>
        <v>4516476</v>
        <stp/>
        <stp>VOLUME</stp>
        <stp>CTSH</stp>
        <tr r="J123" s="1"/>
      </tp>
      <tp>
        <v>1066521</v>
        <stp/>
        <stp>VOLUME</stp>
        <stp>NTRS</stp>
        <tr r="J337" s="1"/>
      </tp>
      <tp t="s">
        <v>N/A</v>
        <stp/>
        <stp>STRENGTH_METER</stp>
        <stp>YHOO</stp>
        <tr r="C500" s="1"/>
      </tp>
      <tp>
        <v>1440683</v>
        <stp/>
        <stp>VOLUME</stp>
        <stp>ETFC</stp>
        <tr r="J169" s="1"/>
      </tp>
      <tp>
        <v>5606789</v>
        <stp/>
        <stp>VOLUME</stp>
        <stp>NTAP</stp>
        <tr r="J336" s="1"/>
      </tp>
      <tp>
        <v>378820</v>
        <stp/>
        <stp>VOLUME</stp>
        <stp>CTAS</stp>
        <tr r="J121" s="1"/>
      </tp>
      <tp>
        <v>6</v>
        <stp/>
        <stp>BID_SIZE</stp>
        <stp>CVS</stp>
        <tr r="H126" s="1"/>
      </tp>
      <tp>
        <v>8</v>
        <stp/>
        <stp>BID_SIZE</stp>
        <stp>CVX</stp>
        <tr r="H127" s="1"/>
      </tp>
      <tp>
        <v>0</v>
        <stp/>
        <stp>BID_SIZE</stp>
        <stp>CVC</stp>
        <tr r="H125" s="1"/>
      </tp>
      <tp>
        <v>5</v>
        <stp/>
        <stp>BID_SIZE</stp>
        <stp>CTL</stp>
        <tr r="H122" s="1"/>
      </tp>
      <tp>
        <v>4</v>
        <stp/>
        <stp>BID_SIZE</stp>
        <stp>CSX</stp>
        <tr r="H120" s="1"/>
      </tp>
      <tp>
        <v>0</v>
        <stp/>
        <stp>BID_SIZE</stp>
        <stp>CSC</stp>
        <tr r="H118" s="1"/>
      </tp>
      <tp>
        <v>1</v>
        <stp/>
        <stp>BID_SIZE</stp>
        <stp>CRM</stp>
        <tr r="H117" s="1"/>
      </tp>
      <tp>
        <v>1</v>
        <stp/>
        <stp>BID_SIZE</stp>
        <stp>CPB</stp>
        <tr r="H116" s="1"/>
      </tp>
      <tp>
        <v>6</v>
        <stp/>
        <stp>ASK_SIZE</stp>
        <stp>YUM</stp>
        <tr r="I501" s="1"/>
      </tp>
      <tp>
        <v>0</v>
        <stp/>
        <stp>BID_SIZE</stp>
        <stp>CFN</stp>
        <tr r="H93" s="1"/>
      </tp>
      <tp>
        <v>1</v>
        <stp/>
        <stp>BID_SIZE</stp>
        <stp>CCE</stp>
        <tr r="H87" s="1"/>
      </tp>
      <tp>
        <v>1</v>
        <stp/>
        <stp>BID_SIZE</stp>
        <stp>CCL</stp>
        <tr r="H89" s="1"/>
      </tp>
      <tp>
        <v>2</v>
        <stp/>
        <stp>BID_SIZE</stp>
        <stp>CCI</stp>
        <tr r="H88" s="1"/>
      </tp>
      <tp>
        <v>1</v>
        <stp/>
        <stp>BID_SIZE</stp>
        <stp>CBS</stp>
        <tr r="H86" s="1"/>
      </tp>
      <tp>
        <v>2</v>
        <stp/>
        <stp>BID_SIZE</stp>
        <stp>CBG</stp>
        <tr r="H85" s="1"/>
      </tp>
      <tp>
        <v>4</v>
        <stp/>
        <stp>BID_SIZE</stp>
        <stp>CAT</stp>
        <tr r="H83" s="1"/>
      </tp>
      <tp>
        <v>1</v>
        <stp/>
        <stp>BID_SIZE</stp>
        <stp>CAG</stp>
        <tr r="H80" s="1"/>
      </tp>
      <tp>
        <v>0</v>
        <stp/>
        <stp>BID_SIZE</stp>
        <stp>CAM</stp>
        <tr r="H82" s="1"/>
      </tp>
      <tp>
        <v>6</v>
        <stp/>
        <stp>BID_SIZE</stp>
        <stp>CAH</stp>
        <tr r="H81" s="1"/>
      </tp>
      <tp>
        <v>0</v>
        <stp/>
        <stp>BID_SIZE</stp>
        <stp>COV</stp>
        <tr r="H115" s="1"/>
      </tp>
      <tp>
        <v>10</v>
        <stp/>
        <stp>BID_SIZE</stp>
        <stp>COP</stp>
        <tr r="H113" s="1"/>
      </tp>
      <tp>
        <v>3</v>
        <stp/>
        <stp>BID_SIZE</stp>
        <stp>COF</stp>
        <tr r="H109" s="1"/>
      </tp>
      <tp>
        <v>4</v>
        <stp/>
        <stp>BID_SIZE</stp>
        <stp>COG</stp>
        <tr r="H110" s="1"/>
      </tp>
      <tp>
        <v>1</v>
        <stp/>
        <stp>BID_SIZE</stp>
        <stp>COL</stp>
        <tr r="H112" s="1"/>
      </tp>
      <tp>
        <v>0</v>
        <stp/>
        <stp>BID_SIZE</stp>
        <stp>COH</stp>
        <tr r="H111" s="1"/>
      </tp>
      <tp>
        <v>7</v>
        <stp/>
        <stp>BID_SIZE</stp>
        <stp>CNP</stp>
        <tr r="H107" s="1"/>
      </tp>
      <tp>
        <v>12</v>
        <stp/>
        <stp>BID_SIZE</stp>
        <stp>CNX</stp>
        <tr r="H108" s="1"/>
      </tp>
      <tp>
        <v>1</v>
        <stp/>
        <stp>BID_SIZE</stp>
        <stp>CMS</stp>
        <tr r="H106" s="1"/>
      </tp>
      <tp>
        <v>1</v>
        <stp/>
        <stp>BID_SIZE</stp>
        <stp>CME</stp>
        <tr r="H103" s="1"/>
      </tp>
      <tp>
        <v>2</v>
        <stp/>
        <stp>BID_SIZE</stp>
        <stp>CMG</stp>
        <tr r="H104" s="1"/>
      </tp>
      <tp>
        <v>1</v>
        <stp/>
        <stp>BID_SIZE</stp>
        <stp>CMA</stp>
        <tr r="H101" s="1"/>
      </tp>
      <tp>
        <v>3</v>
        <stp/>
        <stp>BID_SIZE</stp>
        <stp>CMI</stp>
        <tr r="H105" s="1"/>
      </tp>
      <tp>
        <v>1</v>
        <stp/>
        <stp>BID_SIZE</stp>
        <stp>CLX</stp>
        <tr r="H100" s="1"/>
      </tp>
      <tp>
        <v>55</v>
        <stp/>
        <stp>BID_SIZE</stp>
        <stp>CLF</stp>
        <tr r="H99" s="1"/>
      </tp>
      <tp>
        <v>50</v>
        <stp/>
        <stp>BID_SIZE</stp>
        <stp>CHK</stp>
        <tr r="H94" s="1"/>
      </tp>
      <tp>
        <v>0.18</v>
        <stp/>
        <stp>NET_CHANGE</stp>
        <stp>HPQ</stp>
        <tr r="E227" s="1"/>
      </tp>
      <tp>
        <v>-0.6</v>
        <stp/>
        <stp>NET_CHANGE</stp>
        <stp>HSY</stp>
        <tr r="E233" s="1"/>
      </tp>
      <tp>
        <v>-0.08</v>
        <stp/>
        <stp>NET_CHANGE</stp>
        <stp>HST</stp>
        <tr r="E232" s="1"/>
      </tp>
      <tp>
        <v>0</v>
        <stp/>
        <stp>NET_CHANGE</stp>
        <stp>HSP</stp>
        <tr r="E231" s="1"/>
      </tp>
      <tp>
        <v>-0.51</v>
        <stp/>
        <stp>NET_CHANGE</stp>
        <stp>HRS</stp>
        <tr r="E230" s="1"/>
      </tp>
      <tp>
        <v>0.19</v>
        <stp/>
        <stp>NET_CHANGE</stp>
        <stp>HRL</stp>
        <tr r="E229" s="1"/>
      </tp>
      <tp>
        <v>0.21</v>
        <stp/>
        <stp>NET_CHANGE</stp>
        <stp>HRB</stp>
        <tr r="E228" s="1"/>
      </tp>
      <tp>
        <v>-2.4500000000000002</v>
        <stp/>
        <stp>NET_CHANGE</stp>
        <stp>HUM</stp>
        <tr r="E234" s="1"/>
      </tp>
      <tp>
        <v>-0.01</v>
        <stp/>
        <stp>NET_CHANGE</stp>
        <stp>HAS</stp>
        <tr r="E214" s="1"/>
      </tp>
      <tp>
        <v>0</v>
        <stp/>
        <stp>NET_CHANGE</stp>
        <stp>HAR</stp>
        <tr r="E213" s="1"/>
      </tp>
      <tp>
        <v>0.26</v>
        <stp/>
        <stp>NET_CHANGE</stp>
        <stp>HAL</stp>
        <tr r="E212" s="1"/>
      </tp>
      <tp>
        <v>-0.04</v>
        <stp/>
        <stp>NET_CHANGE</stp>
        <stp>HCP</stp>
        <tr r="E218" s="1"/>
      </tp>
      <tp>
        <v>0.02</v>
        <stp/>
        <stp>NET_CHANGE</stp>
        <stp>HCN</stp>
        <tr r="E217" s="1"/>
      </tp>
      <tp>
        <v>0.46</v>
        <stp/>
        <stp>NET_CHANGE</stp>
        <stp>HES</stp>
        <tr r="E220" s="1"/>
      </tp>
      <tp>
        <v>0.13</v>
        <stp/>
        <stp>NET_CHANGE</stp>
        <stp>HIG</stp>
        <tr r="E221" s="1"/>
      </tp>
      <tp>
        <v>0</v>
        <stp/>
        <stp>NET_CHANGE</stp>
        <stp>HOT</stp>
        <tr r="E225" s="1"/>
      </tp>
      <tp>
        <v>-0.39</v>
        <stp/>
        <stp>NET_CHANGE</stp>
        <stp>HON</stp>
        <tr r="E224" s="1"/>
      </tp>
      <tp>
        <v>-0.85</v>
        <stp/>
        <stp>NET_CHANGE</stp>
        <stp>HOG</stp>
        <tr r="E223" s="1"/>
      </tp>
      <tp t="s">
        <v>N/A</v>
        <stp/>
        <stp>NET_CHANGE</stp>
        <stp>HNZ</stp>
        <tr r="E222" s="1"/>
      </tp>
      <tp>
        <v>45.42</v>
        <stp/>
        <stp>Last</stp>
        <stp>VZ</stp>
        <tr r="B473" s="1"/>
      </tp>
      <tp>
        <v>36.28</v>
        <stp/>
        <stp>Last</stp>
        <stp>WY</stp>
        <tr r="B489" s="1"/>
      </tp>
      <tp>
        <v>19.68</v>
        <stp/>
        <stp>Last</stp>
        <stp>WU</stp>
        <tr r="B488" s="1"/>
      </tp>
      <tp>
        <v>80.650000000000006</v>
        <stp/>
        <stp>Last</stp>
        <stp>WM</stp>
        <tr r="B483" s="1"/>
      </tp>
      <tp>
        <v>0</v>
        <stp/>
        <stp>Last</stp>
        <stp>TE</stp>
        <tr r="B436" s="1"/>
      </tp>
      <tp>
        <v>89.11</v>
        <stp/>
        <stp>Last</stp>
        <stp>RL</stp>
        <tr r="B395" s="1"/>
      </tp>
      <tp>
        <v>15.8</v>
        <stp/>
        <stp>Last</stp>
        <stp>RF</stp>
        <tr r="B392" s="1"/>
      </tp>
      <tp>
        <v>50.97</v>
        <stp/>
        <stp>Last</stp>
        <stp>SO</stp>
        <tr r="B417" s="1"/>
      </tp>
      <tp>
        <v>15</v>
        <stp/>
        <stp>Last</stp>
        <stp>SE</stp>
        <tr r="B407" s="1"/>
      </tp>
      <tp>
        <v>150.63999999999999</v>
        <stp/>
        <stp>Last</stp>
        <stp>PX</stp>
        <tr r="B384" s="1"/>
      </tp>
      <tp>
        <v>182.34</v>
        <stp/>
        <stp>Last</stp>
        <stp>PH</stp>
        <tr r="B366" s="1"/>
      </tp>
      <tp>
        <v>102.64</v>
        <stp/>
        <stp>Last</stp>
        <stp>PM</stp>
        <tr r="B371" s="1"/>
      </tp>
      <tp>
        <v>88.43</v>
        <stp/>
        <stp>Last</stp>
        <stp>PG</stp>
        <tr r="B364" s="1"/>
      </tp>
      <tp>
        <v>38.630000000000003</v>
        <stp/>
        <stp>Last</stp>
        <stp>XL</stp>
        <tr r="B494" s="1"/>
      </tp>
      <tp>
        <v>34.65</v>
        <stp/>
        <stp>Last</stp>
        <stp>FE</stp>
        <tr r="B181" s="1"/>
      </tp>
      <tp>
        <v>238.02</v>
        <stp/>
        <stp>Last</stp>
        <stp>GS</stp>
        <tr r="B209" s="1"/>
      </tp>
      <tp>
        <v>29.94</v>
        <stp/>
        <stp>Last</stp>
        <stp>GT</stp>
        <tr r="B210" s="1"/>
      </tp>
      <tp>
        <v>197.77</v>
        <stp/>
        <stp>Last</stp>
        <stp>GD</stp>
        <tr r="B198" s="1"/>
      </tp>
      <tp>
        <v>18.21</v>
        <stp/>
        <stp>Last</stp>
        <stp>GE</stp>
        <tr r="B199" s="1"/>
      </tp>
      <tp>
        <v>16.059999999999999</v>
        <stp/>
        <stp>Last</stp>
        <stp>DO</stp>
        <tr r="B144" s="1"/>
      </tp>
      <tp>
        <v>9.98</v>
        <stp/>
        <stp>Last</stp>
        <stp>DF</stp>
        <tr r="B132" s="1"/>
      </tp>
      <tp>
        <v>85.5</v>
        <stp/>
        <stp>Last</stp>
        <stp>DG</stp>
        <tr r="B134" s="1"/>
      </tp>
      <tp>
        <v>83.93</v>
        <stp/>
        <stp>Last</stp>
        <stp>DD</stp>
        <tr r="B129" s="1"/>
      </tp>
      <tp>
        <v>135.77000000000001</v>
        <stp/>
        <stp>Last</stp>
        <stp>DE</stp>
        <tr r="B130" s="1"/>
      </tp>
      <tp>
        <v>107.09</v>
        <stp/>
        <stp>Last</stp>
        <stp>EW</stp>
        <tr r="B172" s="1"/>
      </tp>
      <tp>
        <v>124.69</v>
        <stp/>
        <stp>Last</stp>
        <stp>EL</stp>
        <tr r="B160" s="1"/>
      </tp>
      <tp>
        <v>108.82</v>
        <stp/>
        <stp>Last</stp>
        <stp>EA</stp>
        <tr r="B154" s="1"/>
      </tp>
      <tp>
        <v>86.53</v>
        <stp/>
        <stp>Last</stp>
        <stp>ED</stp>
        <tr r="B157" s="1"/>
      </tp>
      <tp>
        <v>52.47</v>
        <stp/>
        <stp>Last</stp>
        <stp>BK</stp>
        <tr r="B66" s="1"/>
      </tp>
      <tp>
        <v>262.26</v>
        <stp/>
        <stp>Last</stp>
        <stp>BA</stp>
        <tr r="B53" s="1"/>
      </tp>
      <tp>
        <v>197.97</v>
        <stp/>
        <stp>Last</stp>
        <stp>CI</stp>
        <tr r="B96" s="1"/>
      </tp>
      <tp>
        <v>71.89</v>
        <stp/>
        <stp>Last</stp>
        <stp>CL</stp>
        <tr r="B98" s="1"/>
      </tp>
      <tp>
        <v>148.63</v>
        <stp/>
        <stp>Last</stp>
        <stp>CB</stp>
        <tr r="B84" s="1"/>
      </tp>
      <tp>
        <v>32.51</v>
        <stp/>
        <stp>Last</stp>
        <stp>CA</stp>
        <tr r="B79" s="1"/>
      </tp>
      <tp>
        <v>35.479999999999997</v>
        <stp/>
        <stp>Last</stp>
        <stp>CF</stp>
        <tr r="B92" s="1"/>
      </tp>
      <tp>
        <v>51.72</v>
        <stp/>
        <stp>Last</stp>
        <stp>AN</stp>
        <tr r="B38" s="1"/>
      </tp>
      <tp>
        <v>43.4</v>
        <stp/>
        <stp>Last</stp>
        <stp>AA</stp>
        <tr r="B5" s="1"/>
      </tp>
      <tp>
        <v>137.15</v>
        <stp/>
        <stp>Last</stp>
        <stp>NU</stp>
        <tr r="B338" s="1"/>
      </tp>
      <tp>
        <v>27.08</v>
        <stp/>
        <stp>Last</stp>
        <stp>NI</stp>
        <tr r="B330" s="1"/>
      </tp>
      <tp>
        <v>4.16</v>
        <stp/>
        <stp>Last</stp>
        <stp>NE</stp>
        <tr r="B325" s="1"/>
      </tp>
      <tp>
        <v>23.16</v>
        <stp/>
        <stp>Last</stp>
        <stp>OI</stp>
        <tr r="B344" s="1"/>
      </tp>
      <tp>
        <v>150.36000000000001</v>
        <stp/>
        <stp>Last</stp>
        <stp>LH</stp>
        <tr r="B272" s="1"/>
      </tp>
      <tp>
        <v>0</v>
        <stp/>
        <stp>Last</stp>
        <stp>LO</stp>
        <tr r="B280" s="1"/>
      </tp>
      <tp>
        <v>37.82</v>
        <stp/>
        <stp>Last</stp>
        <stp>LM</stp>
        <tr r="B277" s="1"/>
      </tp>
      <tp>
        <v>48.7</v>
        <stp/>
        <stp>Last</stp>
        <stp>MS</stp>
        <tr r="B314" s="1"/>
      </tp>
      <tp>
        <v>46.16</v>
        <stp/>
        <stp>Last</stp>
        <stp>MU</stp>
        <tr r="B318" s="1"/>
      </tp>
      <tp>
        <v>66.42</v>
        <stp/>
        <stp>Last</stp>
        <stp>MO</stp>
        <tr r="B307" s="1"/>
      </tp>
      <tp>
        <v>149.02000000000001</v>
        <stp/>
        <stp>Last</stp>
        <stp>MA</stp>
        <tr r="B289" s="1"/>
      </tp>
      <tp>
        <v>23.41</v>
        <stp/>
        <stp>Last</stp>
        <stp>KR</stp>
        <tr r="B266" s="1"/>
      </tp>
      <tp>
        <v>45.71</v>
        <stp/>
        <stp>Last</stp>
        <stp>KO</stp>
        <tr r="B265" s="1"/>
      </tp>
      <tp>
        <v>55.68</v>
        <stp/>
        <stp>Last</stp>
        <stp>HP</stp>
        <tr r="B226" s="1"/>
      </tp>
      <tp>
        <v>167.74</v>
        <stp/>
        <stp>Last</stp>
        <stp>HD</stp>
        <tr r="B219" s="1"/>
      </tp>
      <tp>
        <v>85.12</v>
        <stp/>
        <stp>Last</stp>
        <stp>IR</stp>
        <tr r="B243" s="1"/>
      </tp>
      <tp>
        <v>54.21</v>
        <stp/>
        <stp>Last</stp>
        <stp>IP</stp>
        <tr r="B241" s="1"/>
      </tp>
      <tp t="s">
        <v>Range Bound</v>
        <stp/>
        <stp>STRENGTH_METER</stp>
        <stp>FISV</stp>
        <tr r="C185" s="1"/>
      </tp>
      <tp t="s">
        <v>Range Bound</v>
        <stp/>
        <stp>STRENGTH_METER</stp>
        <stp>FITB</stp>
        <tr r="C186" s="1"/>
      </tp>
      <tp t="s">
        <v>Range Bound</v>
        <stp/>
        <stp>STRENGTH_METER</stp>
        <stp>BIIB</stp>
        <tr r="C65" s="1"/>
      </tp>
      <tp t="s">
        <v>Range Bound</v>
        <stp/>
        <stp>STRENGTH_METER</stp>
        <stp>ZION</stp>
        <tr r="C502" s="1"/>
      </tp>
      <tp t="s">
        <v>Range Bound</v>
        <stp/>
        <stp>STRENGTH_METER</stp>
        <stp>CINF</stp>
        <tr r="C97" s="1"/>
      </tp>
      <tp t="s">
        <v>Range Bound</v>
        <stp/>
        <stp>STRENGTH_METER</stp>
        <stp>GILD</stp>
        <tr r="C200" s="1"/>
      </tp>
      <tp t="s">
        <v>N/A</v>
        <stp/>
        <stp>STRENGTH_METER</stp>
        <stp>SIAL</stp>
        <tr r="C410" s="1"/>
      </tp>
      <tp t="s">
        <v>Range Bound</v>
        <stp/>
        <stp>STRENGTH_METER</stp>
        <stp>VIAB</stp>
        <tr r="C467" s="1"/>
      </tp>
      <tp t="s">
        <v>N/A</v>
        <stp/>
        <stp>STRENGTH_METER</stp>
        <stp>LIFE</stp>
        <tr r="C273" s="1"/>
      </tp>
      <tp>
        <v>1</v>
        <stp/>
        <stp>BID_SIZE</stp>
        <stp>BWA</stp>
        <tr r="H76" s="1"/>
      </tp>
      <tp>
        <v>5</v>
        <stp/>
        <stp>ASK_SIZE</stp>
        <stp>XYL</stp>
        <tr r="I499" s="1"/>
      </tp>
      <tp>
        <v>1</v>
        <stp/>
        <stp>BID_SIZE</stp>
        <stp>BTU</stp>
        <tr r="H75" s="1"/>
      </tp>
      <tp>
        <v>8</v>
        <stp/>
        <stp>BID_SIZE</stp>
        <stp>BSX</stp>
        <tr r="H74" s="1"/>
      </tp>
      <tp>
        <v>4</v>
        <stp/>
        <stp>ASK_SIZE</stp>
        <stp>XRX</stp>
        <tr r="I498" s="1"/>
      </tp>
      <tp>
        <v>0</v>
        <stp/>
        <stp>BID_SIZE</stp>
        <stp>BXP</stp>
        <tr r="H77" s="1"/>
      </tp>
      <tp>
        <v>0</v>
        <stp/>
        <stp>BID_SIZE</stp>
        <stp>BEN</stp>
        <tr r="H62" s="1"/>
      </tp>
      <tp>
        <v>1</v>
        <stp/>
        <stp>BID_SIZE</stp>
        <stp>BDX</stp>
        <tr r="H60" s="1"/>
      </tp>
      <tp>
        <v>1</v>
        <stp/>
        <stp>BID_SIZE</stp>
        <stp>BCR</stp>
        <tr r="H59" s="1"/>
      </tp>
      <tp>
        <v>1</v>
        <stp/>
        <stp>BID_SIZE</stp>
        <stp>BBT</stp>
        <tr r="H57" s="1"/>
      </tp>
      <tp>
        <v>3</v>
        <stp/>
        <stp>BID_SIZE</stp>
        <stp>BBY</stp>
        <tr r="H58" s="1"/>
      </tp>
      <tp>
        <v>1</v>
        <stp/>
        <stp>BID_SIZE</stp>
        <stp>BAX</stp>
        <tr r="H55" s="1"/>
      </tp>
      <tp>
        <v>78</v>
        <stp/>
        <stp>BID_SIZE</stp>
        <stp>BAC</stp>
        <tr r="H54" s="1"/>
      </tp>
      <tp>
        <v>15</v>
        <stp/>
        <stp>ASK_SIZE</stp>
        <stp>XOM</stp>
        <tr r="I496" s="1"/>
      </tp>
      <tp>
        <v>10</v>
        <stp/>
        <stp>BID_SIZE</stp>
        <stp>BMS</stp>
        <tr r="H70" s="1"/>
      </tp>
      <tp>
        <v>1</v>
        <stp/>
        <stp>BID_SIZE</stp>
        <stp>BMY</stp>
        <tr r="H71" s="1"/>
      </tp>
      <tp>
        <v>0</v>
        <stp/>
        <stp>BID_SIZE</stp>
        <stp>BMC</stp>
        <tr r="H69" s="1"/>
      </tp>
      <tp>
        <v>5</v>
        <stp/>
        <stp>BID_SIZE</stp>
        <stp>BLL</stp>
        <tr r="H68" s="1"/>
      </tp>
      <tp>
        <v>5</v>
        <stp/>
        <stp>BID_SIZE</stp>
        <stp>BLK</stp>
        <tr r="H67" s="1"/>
      </tp>
      <tp>
        <v>1</v>
        <stp/>
        <stp>ASK_SIZE</stp>
        <stp>XEL</stp>
        <tr r="I493" s="1"/>
      </tp>
      <tp>
        <v>0</v>
        <stp/>
        <stp>BID_SIZE</stp>
        <stp>BHI</stp>
        <tr r="H64" s="1"/>
      </tp>
      <tp>
        <v>198.26</v>
        <stp/>
        <stp>OPEN</stp>
        <stp>GD</stp>
        <tr r="K198" s="1"/>
      </tp>
      <tp>
        <v>18.34</v>
        <stp/>
        <stp>OPEN</stp>
        <stp>GE</stp>
        <tr r="K199" s="1"/>
      </tp>
      <tp>
        <v>29.48</v>
        <stp/>
        <stp>OPEN</stp>
        <stp>GT</stp>
        <tr r="K210" s="1"/>
      </tp>
      <tp>
        <v>238.86</v>
        <stp/>
        <stp>OPEN</stp>
        <stp>GS</stp>
        <tr r="K209" s="1"/>
      </tp>
      <tp>
        <v>34.57</v>
        <stp/>
        <stp>OPEN</stp>
        <stp>FE</stp>
        <tr r="K181" s="1"/>
      </tp>
      <tp>
        <v>1.47</v>
        <stp/>
        <stp>NET_CHANGE</stp>
        <stp>KSS</stp>
        <tr r="E268" s="1"/>
      </tp>
      <tp>
        <v>125.48</v>
        <stp/>
        <stp>OPEN</stp>
        <stp>EL</stp>
        <tr r="K160" s="1"/>
      </tp>
      <tp>
        <v>87.08</v>
        <stp/>
        <stp>OPEN</stp>
        <stp>ED</stp>
        <tr r="K157" s="1"/>
      </tp>
      <tp>
        <v>108.99</v>
        <stp/>
        <stp>OPEN</stp>
        <stp>EA</stp>
        <tr r="K154" s="1"/>
      </tp>
      <tp>
        <v>106.6</v>
        <stp/>
        <stp>OPEN</stp>
        <stp>EW</stp>
        <tr r="K172" s="1"/>
      </tp>
      <tp>
        <v>15.84</v>
        <stp/>
        <stp>OPEN</stp>
        <stp>DO</stp>
        <tr r="K144" s="1"/>
      </tp>
      <tp>
        <v>0</v>
        <stp/>
        <stp>OPEN</stp>
        <stp>DD</stp>
        <tr r="K129" s="1"/>
      </tp>
      <tp>
        <v>134.01</v>
        <stp/>
        <stp>OPEN</stp>
        <stp>DE</stp>
        <tr r="K130" s="1"/>
      </tp>
      <tp>
        <v>9.75</v>
        <stp/>
        <stp>OPEN</stp>
        <stp>DF</stp>
        <tr r="K132" s="1"/>
      </tp>
      <tp>
        <v>84.94</v>
        <stp/>
        <stp>OPEN</stp>
        <stp>DG</stp>
        <tr r="K134" s="1"/>
      </tp>
      <tp>
        <v>72.31</v>
        <stp/>
        <stp>OPEN</stp>
        <stp>CL</stp>
        <tr r="K98" s="1"/>
      </tp>
      <tp>
        <v>199.91</v>
        <stp/>
        <stp>OPEN</stp>
        <stp>CI</stp>
        <tr r="K96" s="1"/>
      </tp>
      <tp>
        <v>35.89</v>
        <stp/>
        <stp>OPEN</stp>
        <stp>CF</stp>
        <tr r="K92" s="1"/>
      </tp>
      <tp>
        <v>32.57</v>
        <stp/>
        <stp>OPEN</stp>
        <stp>CA</stp>
        <tr r="K79" s="1"/>
      </tp>
      <tp>
        <v>148.19</v>
        <stp/>
        <stp>OPEN</stp>
        <stp>CB</stp>
        <tr r="K84" s="1"/>
      </tp>
      <tp>
        <v>52</v>
        <stp/>
        <stp>OPEN</stp>
        <stp>BK</stp>
        <tr r="K66" s="1"/>
      </tp>
      <tp>
        <v>262.82</v>
        <stp/>
        <stp>OPEN</stp>
        <stp>BA</stp>
        <tr r="K53" s="1"/>
      </tp>
      <tp>
        <v>52.17</v>
        <stp/>
        <stp>OPEN</stp>
        <stp>AN</stp>
        <tr r="K38" s="1"/>
      </tp>
      <tp>
        <v>42</v>
        <stp/>
        <stp>OPEN</stp>
        <stp>AA</stp>
        <tr r="K5" s="1"/>
      </tp>
      <tp>
        <v>23.15</v>
        <stp/>
        <stp>OPEN</stp>
        <stp>OI</stp>
        <tr r="K344" s="1"/>
      </tp>
      <tp>
        <v>27.23</v>
        <stp/>
        <stp>OPEN</stp>
        <stp>NI</stp>
        <tr r="K330" s="1"/>
      </tp>
      <tp>
        <v>4.13</v>
        <stp/>
        <stp>OPEN</stp>
        <stp>NE</stp>
        <tr r="K325" s="1"/>
      </tp>
      <tp>
        <v>0</v>
        <stp/>
        <stp>OPEN</stp>
        <stp>NU</stp>
        <tr r="K338" s="1"/>
      </tp>
      <tp>
        <v>65.53</v>
        <stp/>
        <stp>OPEN</stp>
        <stp>MO</stp>
        <tr r="K307" s="1"/>
      </tp>
      <tp>
        <v>149.33000000000001</v>
        <stp/>
        <stp>OPEN</stp>
        <stp>MA</stp>
        <tr r="K289" s="1"/>
      </tp>
      <tp>
        <v>46.54</v>
        <stp/>
        <stp>OPEN</stp>
        <stp>MU</stp>
        <tr r="K318" s="1"/>
      </tp>
      <tp>
        <v>48.29</v>
        <stp/>
        <stp>OPEN</stp>
        <stp>MS</stp>
        <tr r="K314" s="1"/>
      </tp>
      <tp>
        <v>37.9</v>
        <stp/>
        <stp>OPEN</stp>
        <stp>LM</stp>
        <tr r="K277" s="1"/>
      </tp>
      <tp>
        <v>0</v>
        <stp/>
        <stp>OPEN</stp>
        <stp>LO</stp>
        <tr r="K280" s="1"/>
      </tp>
      <tp>
        <v>150.44</v>
        <stp/>
        <stp>OPEN</stp>
        <stp>LH</stp>
        <tr r="K272" s="1"/>
      </tp>
      <tp>
        <v>46.34</v>
        <stp/>
        <stp>OPEN</stp>
        <stp>KO</stp>
        <tr r="K265" s="1"/>
      </tp>
      <tp>
        <v>22.33</v>
        <stp/>
        <stp>OPEN</stp>
        <stp>KR</stp>
        <tr r="K266" s="1"/>
      </tp>
      <tp>
        <v>53.93</v>
        <stp/>
        <stp>OPEN</stp>
        <stp>IP</stp>
        <tr r="K241" s="1"/>
      </tp>
      <tp>
        <v>84.63</v>
        <stp/>
        <stp>OPEN</stp>
        <stp>IR</stp>
        <tr r="K243" s="1"/>
      </tp>
      <tp>
        <v>167</v>
        <stp/>
        <stp>OPEN</stp>
        <stp>HD</stp>
        <tr r="K219" s="1"/>
      </tp>
      <tp>
        <v>55.17</v>
        <stp/>
        <stp>OPEN</stp>
        <stp>HP</stp>
        <tr r="K226" s="1"/>
      </tp>
      <tp>
        <v>81.61</v>
        <stp/>
        <stp>OPEN</stp>
        <stp>WM</stp>
        <tr r="K483" s="1"/>
      </tp>
      <tp>
        <v>36.35</v>
        <stp/>
        <stp>OPEN</stp>
        <stp>WY</stp>
        <tr r="K489" s="1"/>
      </tp>
      <tp>
        <v>19.68</v>
        <stp/>
        <stp>OPEN</stp>
        <stp>WU</stp>
        <tr r="K488" s="1"/>
      </tp>
      <tp>
        <v>44.63</v>
        <stp/>
        <stp>OPEN</stp>
        <stp>VZ</stp>
        <tr r="K473" s="1"/>
      </tp>
      <tp>
        <v>0</v>
        <stp/>
        <stp>OPEN</stp>
        <stp>TE</stp>
        <tr r="K436" s="1"/>
      </tp>
      <tp>
        <v>0.18</v>
        <stp/>
        <stp>NET_CHANGE</stp>
        <stp>KEY</stp>
        <tr r="E259" s="1"/>
      </tp>
      <tp>
        <v>51.37</v>
        <stp/>
        <stp>OPEN</stp>
        <stp>SO</stp>
        <tr r="K417" s="1"/>
      </tp>
      <tp>
        <v>15</v>
        <stp/>
        <stp>OPEN</stp>
        <stp>SE</stp>
        <tr r="K407" s="1"/>
      </tp>
      <tp>
        <v>89.69</v>
        <stp/>
        <stp>OPEN</stp>
        <stp>RL</stp>
        <tr r="K395" s="1"/>
      </tp>
      <tp>
        <v>15.6</v>
        <stp/>
        <stp>OPEN</stp>
        <stp>RF</stp>
        <tr r="K392" s="1"/>
      </tp>
      <tp>
        <v>102.21</v>
        <stp/>
        <stp>OPEN</stp>
        <stp>PM</stp>
        <tr r="K371" s="1"/>
      </tp>
      <tp>
        <v>181.27</v>
        <stp/>
        <stp>OPEN</stp>
        <stp>PH</stp>
        <tr r="K366" s="1"/>
      </tp>
      <tp>
        <v>88.95</v>
        <stp/>
        <stp>OPEN</stp>
        <stp>PG</stp>
        <tr r="K364" s="1"/>
      </tp>
      <tp>
        <v>149.11000000000001</v>
        <stp/>
        <stp>OPEN</stp>
        <stp>PX</stp>
        <tr r="K384" s="1"/>
      </tp>
      <tp>
        <v>0.05</v>
        <stp/>
        <stp>NET_CHANGE</stp>
        <stp>KIM</stp>
        <tr r="E260" s="1"/>
      </tp>
      <tp>
        <v>-1.1000000000000001</v>
        <stp/>
        <stp>NET_CHANGE</stp>
        <stp>KMX</stp>
        <tr r="E264" s="1"/>
      </tp>
      <tp>
        <v>0.18</v>
        <stp/>
        <stp>NET_CHANGE</stp>
        <stp>KMI</stp>
        <tr r="E263" s="1"/>
      </tp>
      <tp>
        <v>-0.57999999999999996</v>
        <stp/>
        <stp>NET_CHANGE</stp>
        <stp>KMB</stp>
        <tr r="E262" s="1"/>
      </tp>
      <tp>
        <v>38.58</v>
        <stp/>
        <stp>OPEN</stp>
        <stp>XL</stp>
        <tr r="K494" s="1"/>
      </tp>
      <tp t="s">
        <v>N/A</v>
        <stp/>
        <stp>VOLUME</stp>
        <stp>BRK-B</stp>
        <tr r="J73" s="1"/>
      </tp>
      <tp>
        <v>12821622</v>
        <stp/>
        <stp>VOLUME</stp>
        <stp>NVDA</stp>
        <tr r="J340" s="1"/>
      </tp>
      <tp>
        <v>5</v>
        <stp/>
        <stp>BID_SIZE</stp>
        <stp>AVP</stp>
        <tr r="H49" s="1"/>
      </tp>
      <tp>
        <v>1</v>
        <stp/>
        <stp>BID_SIZE</stp>
        <stp>AVY</stp>
        <tr r="H50" s="1"/>
      </tp>
      <tp>
        <v>2</v>
        <stp/>
        <stp>BID_SIZE</stp>
        <stp>AVB</stp>
        <tr r="H48" s="1"/>
      </tp>
      <tp>
        <v>10</v>
        <stp/>
        <stp>BID_SIZE</stp>
        <stp>ATI</stp>
        <tr r="H47" s="1"/>
      </tp>
      <tp>
        <v>0</v>
        <stp/>
        <stp>BID_SIZE</stp>
        <stp>ARG</stp>
        <tr r="H46" s="1"/>
      </tp>
      <tp>
        <v>1</v>
        <stp/>
        <stp>BID_SIZE</stp>
        <stp>APD</stp>
        <tr r="H43" s="1"/>
      </tp>
      <tp>
        <v>5</v>
        <stp/>
        <stp>BID_SIZE</stp>
        <stp>APA</stp>
        <tr r="H41" s="1"/>
      </tp>
      <tp>
        <v>3</v>
        <stp/>
        <stp>BID_SIZE</stp>
        <stp>APC</stp>
        <tr r="H42" s="1"/>
      </tp>
      <tp>
        <v>1</v>
        <stp/>
        <stp>BID_SIZE</stp>
        <stp>APH</stp>
        <tr r="H44" s="1"/>
      </tp>
      <tp>
        <v>1</v>
        <stp/>
        <stp>BID_SIZE</stp>
        <stp>AZO</stp>
        <tr r="H52" s="1"/>
      </tp>
      <tp>
        <v>1</v>
        <stp/>
        <stp>BID_SIZE</stp>
        <stp>AXP</stp>
        <tr r="H51" s="1"/>
      </tp>
      <tp>
        <v>1</v>
        <stp/>
        <stp>BID_SIZE</stp>
        <stp>AGN</stp>
        <tr r="H24" s="1"/>
      </tp>
      <tp>
        <v>1</v>
        <stp/>
        <stp>BID_SIZE</stp>
        <stp>AFL</stp>
        <tr r="H23" s="1"/>
      </tp>
      <tp>
        <v>6</v>
        <stp/>
        <stp>BID_SIZE</stp>
        <stp>AET</stp>
        <tr r="H22" s="1"/>
      </tp>
      <tp>
        <v>4</v>
        <stp/>
        <stp>BID_SIZE</stp>
        <stp>AEP</stp>
        <tr r="H20" s="1"/>
      </tp>
      <tp>
        <v>1</v>
        <stp/>
        <stp>BID_SIZE</stp>
        <stp>AES</stp>
        <tr r="H21" s="1"/>
      </tp>
      <tp>
        <v>1</v>
        <stp/>
        <stp>BID_SIZE</stp>
        <stp>AEE</stp>
        <tr r="H19" s="1"/>
      </tp>
      <tp>
        <v>0</v>
        <stp/>
        <stp>BID_SIZE</stp>
        <stp>ADT</stp>
        <tr r="H18" s="1"/>
      </tp>
      <tp>
        <v>1</v>
        <stp/>
        <stp>BID_SIZE</stp>
        <stp>ADP</stp>
        <tr r="H16" s="1"/>
      </tp>
      <tp>
        <v>1</v>
        <stp/>
        <stp>BID_SIZE</stp>
        <stp>ADM</stp>
        <tr r="H15" s="1"/>
      </tp>
      <tp>
        <v>2</v>
        <stp/>
        <stp>BID_SIZE</stp>
        <stp>ADI</stp>
        <tr r="H14" s="1"/>
      </tp>
      <tp>
        <v>0</v>
        <stp/>
        <stp>BID_SIZE</stp>
        <stp>ACT</stp>
        <tr r="H12" s="1"/>
      </tp>
      <tp>
        <v>0</v>
        <stp/>
        <stp>BID_SIZE</stp>
        <stp>ACE</stp>
        <tr r="H10" s="1"/>
      </tp>
      <tp>
        <v>1</v>
        <stp/>
        <stp>BID_SIZE</stp>
        <stp>ACN</stp>
        <tr r="H11" s="1"/>
      </tp>
      <tp>
        <v>67</v>
        <stp/>
        <stp>BID_SIZE</stp>
        <stp>ABT</stp>
        <tr r="H9" s="1"/>
      </tp>
      <tp>
        <v>1</v>
        <stp/>
        <stp>BID_SIZE</stp>
        <stp>ABC</stp>
        <tr r="H8" s="1"/>
      </tp>
      <tp>
        <v>0</v>
        <stp/>
        <stp>BID_SIZE</stp>
        <stp>AON</stp>
        <tr r="H40" s="1"/>
      </tp>
      <tp>
        <v>2</v>
        <stp/>
        <stp>BID_SIZE</stp>
        <stp>ANF</stp>
        <tr r="H39" s="1"/>
      </tp>
      <tp>
        <v>1</v>
        <stp/>
        <stp>BID_SIZE</stp>
        <stp>AMT</stp>
        <tr r="H36" s="1"/>
      </tp>
      <tp>
        <v>1</v>
        <stp/>
        <stp>BID_SIZE</stp>
        <stp>AMP</stp>
        <tr r="H35" s="1"/>
      </tp>
      <tp>
        <v>52</v>
        <stp/>
        <stp>BID_SIZE</stp>
        <stp>AMD</stp>
        <tr r="H33" s="1"/>
      </tp>
      <tp>
        <v>1</v>
        <stp/>
        <stp>BID_SIZE</stp>
        <stp>ALL</stp>
        <tr r="H29" s="1"/>
      </tp>
      <tp>
        <v>1</v>
        <stp/>
        <stp>BID_SIZE</stp>
        <stp>AIV</stp>
        <tr r="H26" s="1"/>
      </tp>
      <tp>
        <v>1</v>
        <stp/>
        <stp>BID_SIZE</stp>
        <stp>AIZ</stp>
        <tr r="H27" s="1"/>
      </tp>
      <tp>
        <v>60</v>
        <stp/>
        <stp>BID_SIZE</stp>
        <stp>AIG</stp>
        <tr r="H25" s="1"/>
      </tp>
      <tp>
        <v>-0.33</v>
        <stp/>
        <stp>NET_CHANGE</stp>
        <stp>JPM</stp>
        <tr r="E256" s="1"/>
      </tp>
      <tp>
        <v>0.89</v>
        <stp/>
        <stp>NET_CHANGE</stp>
        <stp>JWN</stp>
        <tr r="E257" s="1"/>
      </tp>
      <tp>
        <v>0.13</v>
        <stp/>
        <stp>NET_CHANGE</stp>
        <stp>JCP</stp>
        <tr r="E250" s="1"/>
      </tp>
      <tp>
        <v>0.25</v>
        <stp/>
        <stp>NET_CHANGE</stp>
        <stp>JCI</stp>
        <tr r="E249" s="1"/>
      </tp>
      <tp>
        <v>0.12</v>
        <stp/>
        <stp>NET_CHANGE</stp>
        <stp>JBL</stp>
        <tr r="E248" s="1"/>
      </tp>
      <tp>
        <v>0.2</v>
        <stp/>
        <stp>NET_CHANGE</stp>
        <stp>JEC</stp>
        <tr r="E252" s="1"/>
      </tp>
      <tp>
        <v>0</v>
        <stp/>
        <stp>NET_CHANGE</stp>
        <stp>JOY</stp>
        <tr r="E255" s="1"/>
      </tp>
      <tp>
        <v>-0.87</v>
        <stp/>
        <stp>NET_CHANGE</stp>
        <stp>JNJ</stp>
        <tr r="E253" s="1"/>
      </tp>
      <tp>
        <v>2523630</v>
        <stp/>
        <stp>VOLUME</stp>
        <stp>NWSA</stp>
        <tr r="J342" s="1"/>
      </tp>
      <tp t="s">
        <v>Range Bound</v>
        <stp/>
        <stp>STRENGTH_METER</stp>
        <stp>AKAM</stp>
        <tr r="C28" s="1"/>
      </tp>
      <tp>
        <v>4</v>
        <stp/>
        <stp>BID_SIZE</stp>
        <stp>CMCSA</stp>
        <tr r="H102" s="1"/>
      </tp>
      <tp>
        <v>4</v>
        <stp/>
        <stp>ASK_SIZE</stp>
        <stp>CMCSA</stp>
        <tr r="I102" s="1"/>
      </tp>
      <tp>
        <v>0</v>
        <stp/>
        <stp>ASK_SIZE</stp>
        <stp>ZMH</stp>
        <tr r="I503" s="1"/>
      </tp>
      <tp>
        <v>-0.27</v>
        <stp/>
        <stp>NET_CHANGE</stp>
        <stp>EQT</stp>
        <tr r="E166" s="1"/>
      </tp>
      <tp>
        <v>-0.9</v>
        <stp/>
        <stp>NET_CHANGE</stp>
        <stp>EQR</stp>
        <tr r="E165" s="1"/>
      </tp>
      <tp>
        <v>0.06</v>
        <stp/>
        <stp>NET_CHANGE</stp>
        <stp>ESV</stp>
        <tr r="E168" s="1"/>
      </tp>
      <tp>
        <v>0.61</v>
        <stp/>
        <stp>NET_CHANGE</stp>
        <stp>ETR</stp>
        <tr r="E171" s="1"/>
      </tp>
      <tp>
        <v>-0.8</v>
        <stp/>
        <stp>NET_CHANGE</stp>
        <stp>ETN</stp>
        <tr r="E170" s="1"/>
      </tp>
      <tp>
        <v>0.02</v>
        <stp/>
        <stp>NET_CHANGE</stp>
        <stp>EXC</stp>
        <tr r="E173" s="1"/>
      </tp>
      <tp>
        <v>-0.54</v>
        <stp/>
        <stp>NET_CHANGE</stp>
        <stp>ECL</stp>
        <tr r="E156" s="1"/>
      </tp>
      <tp>
        <v>1.79</v>
        <stp/>
        <stp>NET_CHANGE</stp>
        <stp>EFX</stp>
        <tr r="E158" s="1"/>
      </tp>
      <tp>
        <v>-0.86</v>
        <stp/>
        <stp>NET_CHANGE</stp>
        <stp>EIX</stp>
        <tr r="E159" s="1"/>
      </tp>
      <tp>
        <v>0.83</v>
        <stp/>
        <stp>NET_CHANGE</stp>
        <stp>EMR</stp>
        <tr r="E163" s="1"/>
      </tp>
      <tp>
        <v>-0.41</v>
        <stp/>
        <stp>NET_CHANGE</stp>
        <stp>EMN</stp>
        <tr r="E162" s="1"/>
      </tp>
      <tp>
        <v>0</v>
        <stp/>
        <stp>NET_CHANGE</stp>
        <stp>EMC</stp>
        <tr r="E161" s="1"/>
      </tp>
      <tp>
        <v>0.21</v>
        <stp/>
        <stp>NET_CHANGE</stp>
        <stp>EOG</stp>
        <tr r="E164" s="1"/>
      </tp>
      <tp t="s">
        <v>Range Bound</v>
        <stp/>
        <stp>STRENGTH_METER</stp>
        <stp>CMCSA</stp>
        <tr r="C102" s="1"/>
      </tp>
      <tp t="s">
        <v>Range Bound</v>
        <stp/>
        <stp>STRENGTH_METER</stp>
        <stp>ADSK</stp>
        <tr r="C17" s="1"/>
      </tp>
      <tp t="s">
        <v>N/A</v>
        <stp/>
        <stp>STRENGTH_METER</stp>
        <stp>JDSU</stp>
        <tr r="C251" s="1"/>
      </tp>
      <tp>
        <v>2490422</v>
        <stp/>
        <stp>VOLUME</stp>
        <stp>EXPE</stp>
        <tr r="J175" s="1"/>
      </tp>
      <tp>
        <v>1046267</v>
        <stp/>
        <stp>VOLUME</stp>
        <stp>EXPD</stp>
        <tr r="J174" s="1"/>
      </tp>
      <tp t="s">
        <v>Range Bound</v>
        <stp/>
        <stp>STRENGTH_METER</stp>
        <stp>MDLZ</stp>
        <tr r="C298" s="1"/>
      </tp>
      <tp t="s">
        <v>Range Bound</v>
        <stp/>
        <stp>STRENGTH_METER</stp>
        <stp>PDCO</stp>
        <tr r="C358" s="1"/>
      </tp>
      <tp t="s">
        <v>Range Bound</v>
        <stp/>
        <stp>STRENGTH_METER</stp>
        <stp>ADBE</stp>
        <tr r="C13" s="1"/>
      </tp>
      <tp t="s">
        <v>Range Bound</v>
        <stp/>
        <stp>STRENGTH_METER</stp>
        <stp>NDAQ</stp>
        <tr r="C324" s="1"/>
      </tp>
      <tp>
        <v>1</v>
        <stp/>
        <stp>ASK_SIZE</stp>
        <stp>UPS</stp>
        <tr r="I460" s="1"/>
      </tp>
      <tp>
        <v>5</v>
        <stp/>
        <stp>ASK_SIZE</stp>
        <stp>USB</stp>
        <tr r="I462" s="1"/>
      </tp>
      <tp>
        <v>3</v>
        <stp/>
        <stp>ASK_SIZE</stp>
        <stp>UTX</stp>
        <tr r="I463" s="1"/>
      </tp>
      <tp>
        <v>2</v>
        <stp/>
        <stp>BID_SIZE</stp>
        <stp>OXY</stp>
        <tr r="H349" s="1"/>
      </tp>
      <tp>
        <v>1</v>
        <stp/>
        <stp>ASK_SIZE</stp>
        <stp>UNP</stp>
        <tr r="I459" s="1"/>
      </tp>
      <tp>
        <v>1</v>
        <stp/>
        <stp>ASK_SIZE</stp>
        <stp>UNM</stp>
        <tr r="I458" s="1"/>
      </tp>
      <tp>
        <v>1</v>
        <stp/>
        <stp>ASK_SIZE</stp>
        <stp>UNH</stp>
        <tr r="I457" s="1"/>
      </tp>
      <tp>
        <v>6</v>
        <stp/>
        <stp>BID_SIZE</stp>
        <stp>OMC</stp>
        <tr r="H346" s="1"/>
      </tp>
      <tp>
        <v>1</v>
        <stp/>
        <stp>BID_SIZE</stp>
        <stp>OKE</stp>
        <tr r="H345" s="1"/>
      </tp>
      <tp>
        <v>0.14000000000000001</v>
        <stp/>
        <stp>NET_CHANGE</stp>
        <stp>DPS</stp>
        <tr r="E147" s="1"/>
      </tp>
      <tp>
        <v>0.48</v>
        <stp/>
        <stp>NET_CHANGE</stp>
        <stp>DRI</stp>
        <tr r="E148" s="1"/>
      </tp>
      <tp>
        <v>-0.69</v>
        <stp/>
        <stp>NET_CHANGE</stp>
        <stp>DUK</stp>
        <tr r="E151" s="1"/>
      </tp>
      <tp>
        <v>-0.12</v>
        <stp/>
        <stp>NET_CHANGE</stp>
        <stp>DTV</stp>
        <tr r="E150" s="1"/>
      </tp>
      <tp>
        <v>-1.07</v>
        <stp/>
        <stp>NET_CHANGE</stp>
        <stp>DTE</stp>
        <tr r="E149" s="1"/>
      </tp>
      <tp>
        <v>0.52</v>
        <stp/>
        <stp>NET_CHANGE</stp>
        <stp>DVN</stp>
        <tr r="E153" s="1"/>
      </tp>
      <tp>
        <v>-0.73</v>
        <stp/>
        <stp>NET_CHANGE</stp>
        <stp>DVA</stp>
        <tr r="E152" s="1"/>
      </tp>
      <tp>
        <v>0.1</v>
        <stp/>
        <stp>NET_CHANGE</stp>
        <stp>DGX</stp>
        <tr r="E135" s="1"/>
      </tp>
      <tp>
        <v>0.24</v>
        <stp/>
        <stp>NET_CHANGE</stp>
        <stp>DFS</stp>
        <tr r="E133" s="1"/>
      </tp>
      <tp>
        <v>-0.16</v>
        <stp/>
        <stp>NET_CHANGE</stp>
        <stp>DIS</stp>
        <tr r="E138" s="1"/>
      </tp>
      <tp>
        <v>-0.28000000000000003</v>
        <stp/>
        <stp>NET_CHANGE</stp>
        <stp>DHR</stp>
        <tr r="E137" s="1"/>
      </tp>
      <tp>
        <v>0.61</v>
        <stp/>
        <stp>NET_CHANGE</stp>
        <stp>DHI</stp>
        <tr r="E136" s="1"/>
      </tp>
      <tp>
        <v>0</v>
        <stp/>
        <stp>NET_CHANGE</stp>
        <stp>DOW</stp>
        <tr r="E146" s="1"/>
      </tp>
      <tp>
        <v>0.21</v>
        <stp/>
        <stp>NET_CHANGE</stp>
        <stp>DOV</stp>
        <tr r="E145" s="1"/>
      </tp>
      <tp>
        <v>0.11</v>
        <stp/>
        <stp>NET_CHANGE</stp>
        <stp>DNR</stp>
        <tr r="E143" s="1"/>
      </tp>
      <tp>
        <v>1.4</v>
        <stp/>
        <stp>NET_CHANGE</stp>
        <stp>DNB</stp>
        <tr r="E142" s="1"/>
      </tp>
      <tp t="s">
        <v>Range Bound</v>
        <stp/>
        <stp>STRENGTH_METER</stp>
        <stp>CERN</stp>
        <tr r="C91" s="1"/>
      </tp>
      <tp t="s">
        <v>N/A</v>
        <stp/>
        <stp>STRENGTH_METER</stp>
        <stp>PETM</stp>
        <tr r="C361" s="1"/>
      </tp>
      <tp>
        <v>3490388</v>
        <stp/>
        <stp>VOLUME</stp>
        <stp>SYMC</stp>
        <tr r="J431" s="1"/>
      </tp>
      <tp>
        <v>838637</v>
        <stp/>
        <stp>VOLUME</stp>
        <stp>WYNN</stp>
        <tr r="J491" s="1"/>
      </tp>
      <tp t="s">
        <v>N/A</v>
        <stp/>
        <stp>STRENGTH_METER</stp>
        <stp>DELL</stp>
        <tr r="C131" s="1"/>
      </tp>
      <tp t="s">
        <v>Downtrend</v>
        <stp/>
        <stp>STRENGTH_METER</stp>
        <stp>CELG</stp>
        <tr r="C90" s="1"/>
      </tp>
      <tp t="s">
        <v>N/A</v>
        <stp/>
        <stp>STRENGTH_METER</stp>
        <stp>BEAM</stp>
        <tr r="C61" s="1"/>
      </tp>
      <tp t="s">
        <v>Range Bound</v>
        <stp/>
        <stp>STRENGTH_METER</stp>
        <stp>REGN</stp>
        <tr r="C391" s="1"/>
      </tp>
      <tp>
        <v>3</v>
        <stp/>
        <stp>ASK_SIZE</stp>
        <stp>TXT</stp>
        <tr r="I455" s="1"/>
      </tp>
      <tp>
        <v>1</v>
        <stp/>
        <stp>BID_SIZE</stp>
        <stp>NWL</stp>
        <tr r="H341" s="1"/>
      </tp>
      <tp>
        <v>2</v>
        <stp/>
        <stp>ASK_SIZE</stp>
        <stp>TXN</stp>
        <tr r="I454" s="1"/>
      </tp>
      <tp>
        <v>0</v>
        <stp/>
        <stp>ASK_SIZE</stp>
        <stp>TYC</stp>
        <tr r="I456" s="1"/>
      </tp>
      <tp>
        <v>5</v>
        <stp/>
        <stp>BID_SIZE</stp>
        <stp>NUE</stp>
        <tr r="H339" s="1"/>
      </tp>
      <tp>
        <v>9</v>
        <stp/>
        <stp>BID_SIZE</stp>
        <stp>NSC</stp>
        <tr r="H335" s="1"/>
      </tp>
      <tp>
        <v>1</v>
        <stp/>
        <stp>BID_SIZE</stp>
        <stp>NRG</stp>
        <tr r="H334" s="1"/>
      </tp>
      <tp>
        <v>2</v>
        <stp/>
        <stp>ASK_SIZE</stp>
        <stp>TRV</stp>
        <tr r="I448" s="1"/>
      </tp>
      <tp>
        <v>1</v>
        <stp/>
        <stp>ASK_SIZE</stp>
        <stp>TSS</stp>
        <tr r="I451" s="1"/>
      </tp>
      <tp>
        <v>3</v>
        <stp/>
        <stp>ASK_SIZE</stp>
        <stp>TSN</stp>
        <tr r="I449" s="1"/>
      </tp>
      <tp>
        <v>0</v>
        <stp/>
        <stp>ASK_SIZE</stp>
        <stp>TSO</stp>
        <tr r="I450" s="1"/>
      </tp>
      <tp>
        <v>0</v>
        <stp/>
        <stp>BID_SIZE</stp>
        <stp>NYX</stp>
        <tr r="H343" s="1"/>
      </tp>
      <tp>
        <v>1</v>
        <stp/>
        <stp>ASK_SIZE</stp>
        <stp>TWX</stp>
        <tr r="I453" s="1"/>
      </tp>
      <tp>
        <v>0</v>
        <stp/>
        <stp>ASK_SIZE</stp>
        <stp>TWC</stp>
        <tr r="I452" s="1"/>
      </tp>
      <tp>
        <v>92</v>
        <stp/>
        <stp>ASK_SIZE</stp>
        <stp>THC</stp>
        <tr r="I441" s="1"/>
      </tp>
      <tp>
        <v>3</v>
        <stp/>
        <stp>BID_SIZE</stp>
        <stp>NFX</stp>
        <tr r="H329" s="1"/>
      </tp>
      <tp>
        <v>1</v>
        <stp/>
        <stp>ASK_SIZE</stp>
        <stp>TIF</stp>
        <tr r="I442" s="1"/>
      </tp>
      <tp>
        <v>1</v>
        <stp/>
        <stp>ASK_SIZE</stp>
        <stp>TJX</stp>
        <tr r="I443" s="1"/>
      </tp>
      <tp>
        <v>2</v>
        <stp/>
        <stp>BID_SIZE</stp>
        <stp>NEE</stp>
        <tr r="H326" s="1"/>
      </tp>
      <tp>
        <v>1</v>
        <stp/>
        <stp>BID_SIZE</stp>
        <stp>NEM</stp>
        <tr r="H327" s="1"/>
      </tp>
      <tp>
        <v>62</v>
        <stp/>
        <stp>BID_SIZE</stp>
        <stp>NBR</stp>
        <tr r="H323" s="1"/>
      </tp>
      <tp>
        <v>1</v>
        <stp/>
        <stp>BID_SIZE</stp>
        <stp>NBL</stp>
        <tr r="H322" s="1"/>
      </tp>
      <tp>
        <v>1</v>
        <stp/>
        <stp>ASK_SIZE</stp>
        <stp>TMO</stp>
        <tr r="I445" s="1"/>
      </tp>
      <tp>
        <v>1</v>
        <stp/>
        <stp>ASK_SIZE</stp>
        <stp>TMK</stp>
        <tr r="I444" s="1"/>
      </tp>
      <tp>
        <v>1</v>
        <stp/>
        <stp>BID_SIZE</stp>
        <stp>NOV</stp>
        <tr r="H333" s="1"/>
      </tp>
      <tp>
        <v>1</v>
        <stp/>
        <stp>BID_SIZE</stp>
        <stp>NOC</stp>
        <tr r="H332" s="1"/>
      </tp>
      <tp>
        <v>1</v>
        <stp/>
        <stp>ASK_SIZE</stp>
        <stp>TAP</stp>
        <tr r="I434" s="1"/>
      </tp>
      <tp>
        <v>3</v>
        <stp/>
        <stp>BID_SIZE</stp>
        <stp>NKE</stp>
        <tr r="H331" s="1"/>
      </tp>
      <tp>
        <v>6</v>
        <stp/>
        <stp>ASK_SIZE</stp>
        <stp>TDC</stp>
        <tr r="I435" s="1"/>
      </tp>
      <tp>
        <v>5</v>
        <stp/>
        <stp>ASK_SIZE</stp>
        <stp>TER</stp>
        <tr r="I439" s="1"/>
      </tp>
      <tp>
        <v>0</v>
        <stp/>
        <stp>ASK_SIZE</stp>
        <stp>TEG</stp>
        <tr r="I437" s="1"/>
      </tp>
      <tp>
        <v>663</v>
        <stp/>
        <stp>ASK_SIZE</stp>
        <stp>TEL</stp>
        <tr r="I438" s="1"/>
      </tp>
      <tp>
        <v>10</v>
        <stp/>
        <stp>ASK_SIZE</stp>
        <stp>TGT</stp>
        <tr r="I440" s="1"/>
      </tp>
      <tp>
        <v>1.92</v>
        <stp/>
        <stp>NET_CHANGE</stp>
        <stp>GPS</stp>
        <tr r="E207" s="1"/>
      </tp>
      <tp>
        <v>0.14000000000000001</v>
        <stp/>
        <stp>NET_CHANGE</stp>
        <stp>GPC</stp>
        <tr r="E206" s="1"/>
      </tp>
      <tp>
        <v>-0.68</v>
        <stp/>
        <stp>NET_CHANGE</stp>
        <stp>GWW</stp>
        <tr r="E211" s="1"/>
      </tp>
      <tp>
        <v>0</v>
        <stp/>
        <stp>NET_CHANGE</stp>
        <stp>GAS</stp>
        <tr r="E196" s="1"/>
      </tp>
      <tp>
        <v>0.2</v>
        <stp/>
        <stp>NET_CHANGE</stp>
        <stp>GCI</stp>
        <tr r="E197" s="1"/>
      </tp>
      <tp>
        <v>0.05</v>
        <stp/>
        <stp>NET_CHANGE</stp>
        <stp>GIS</stp>
        <tr r="E201" s="1"/>
      </tp>
      <tp>
        <v>0.13</v>
        <stp/>
        <stp>NET_CHANGE</stp>
        <stp>GME</stp>
        <tr r="E203" s="1"/>
      </tp>
      <tp>
        <v>-0.02</v>
        <stp/>
        <stp>NET_CHANGE</stp>
        <stp>GLW</stp>
        <tr r="E202" s="1"/>
      </tp>
      <tp>
        <v>0.22</v>
        <stp/>
        <stp>NET_CHANGE</stp>
        <stp>GNW</stp>
        <tr r="E204" s="1"/>
      </tp>
      <tp t="s">
        <v>N/A</v>
        <stp/>
        <stp>STRENGTH_METER</stp>
        <stp>BF-B</stp>
        <tr r="C63" s="1"/>
      </tp>
      <tp t="s">
        <v>Range Bound</v>
        <stp/>
        <stp>STRENGTH_METER</stp>
        <stp>FFIV</stp>
        <tr r="C182" s="1"/>
      </tp>
      <tp t="s">
        <v>Range Bound</v>
        <stp/>
        <stp>STRENGTH_METER</stp>
        <stp>NFLX</stp>
        <tr r="C328" s="1"/>
      </tp>
      <tp>
        <v>0</v>
        <stp/>
        <stp>BID_SIZE</stp>
        <stp>MWV</stp>
        <tr r="H320" s="1"/>
      </tp>
      <tp>
        <v>1</v>
        <stp/>
        <stp>ASK_SIZE</stp>
        <stp>WYN</stp>
        <tr r="I490" s="1"/>
      </tp>
      <tp>
        <v>3</v>
        <stp/>
        <stp>BID_SIZE</stp>
        <stp>MUR</stp>
        <tr r="H319" s="1"/>
      </tp>
      <tp>
        <v>1</v>
        <stp/>
        <stp>BID_SIZE</stp>
        <stp>MTB</stp>
        <tr r="H317" s="1"/>
      </tp>
      <tp>
        <v>2</v>
        <stp/>
        <stp>BID_SIZE</stp>
        <stp>MSI</stp>
        <tr r="H316" s="1"/>
      </tp>
      <tp>
        <v>8</v>
        <stp/>
        <stp>BID_SIZE</stp>
        <stp>MRO</stp>
        <tr r="H313" s="1"/>
      </tp>
      <tp>
        <v>1</v>
        <stp/>
        <stp>BID_SIZE</stp>
        <stp>MRK</stp>
        <tr r="H312" s="1"/>
      </tp>
      <tp>
        <v>3</v>
        <stp/>
        <stp>BID_SIZE</stp>
        <stp>MPC</stp>
        <tr r="H311" s="1"/>
      </tp>
      <tp>
        <v>10</v>
        <stp/>
        <stp>ASK_SIZE</stp>
        <stp>WPX</stp>
        <tr r="I487" s="1"/>
      </tp>
      <tp>
        <v>0</v>
        <stp/>
        <stp>ASK_SIZE</stp>
        <stp>WPO</stp>
        <tr r="I486" s="1"/>
      </tp>
      <tp>
        <v>1</v>
        <stp/>
        <stp>BID_SIZE</stp>
        <stp>MYL</stp>
        <tr r="H321" s="1"/>
      </tp>
      <tp>
        <v>1</v>
        <stp/>
        <stp>ASK_SIZE</stp>
        <stp>WHR</stp>
        <tr r="I480" s="1"/>
      </tp>
      <tp>
        <v>5</v>
        <stp/>
        <stp>ASK_SIZE</stp>
        <stp>WIN</stp>
        <tr r="I481" s="1"/>
      </tp>
      <tp>
        <v>3</v>
        <stp/>
        <stp>BID_SIZE</stp>
        <stp>MET</stp>
        <tr r="H300" s="1"/>
      </tp>
      <tp>
        <v>1</v>
        <stp/>
        <stp>BID_SIZE</stp>
        <stp>MDT</stp>
        <tr r="H299" s="1"/>
      </tp>
      <tp>
        <v>0</v>
        <stp/>
        <stp>ASK_SIZE</stp>
        <stp>WLP</stp>
        <tr r="I482" s="1"/>
      </tp>
      <tp>
        <v>1</v>
        <stp/>
        <stp>BID_SIZE</stp>
        <stp>MCD</stp>
        <tr r="H294" s="1"/>
      </tp>
      <tp>
        <v>2</v>
        <stp/>
        <stp>BID_SIZE</stp>
        <stp>MCO</stp>
        <tr r="H297" s="1"/>
      </tp>
      <tp>
        <v>1</v>
        <stp/>
        <stp>BID_SIZE</stp>
        <stp>MCK</stp>
        <tr r="H296" s="1"/>
      </tp>
      <tp>
        <v>2</v>
        <stp/>
        <stp>ASK_SIZE</stp>
        <stp>WMT</stp>
        <tr r="I485" s="1"/>
      </tp>
      <tp>
        <v>5</v>
        <stp/>
        <stp>ASK_SIZE</stp>
        <stp>WMB</stp>
        <tr r="I484" s="1"/>
      </tp>
      <tp>
        <v>1</v>
        <stp/>
        <stp>BID_SIZE</stp>
        <stp>MAT</stp>
        <tr r="H293" s="1"/>
      </tp>
      <tp>
        <v>2</v>
        <stp/>
        <stp>BID_SIZE</stp>
        <stp>MAR</stp>
        <tr r="H291" s="1"/>
      </tp>
      <tp>
        <v>5</v>
        <stp/>
        <stp>BID_SIZE</stp>
        <stp>MAS</stp>
        <tr r="H292" s="1"/>
      </tp>
      <tp>
        <v>1</v>
        <stp/>
        <stp>BID_SIZE</stp>
        <stp>MAC</stp>
        <tr r="H290" s="1"/>
      </tp>
      <tp>
        <v>4</v>
        <stp/>
        <stp>BID_SIZE</stp>
        <stp>MOS</stp>
        <tr r="H310" s="1"/>
      </tp>
      <tp>
        <v>1</v>
        <stp/>
        <stp>BID_SIZE</stp>
        <stp>MON</stp>
        <tr r="H309" s="1"/>
      </tp>
      <tp>
        <v>1</v>
        <stp/>
        <stp>ASK_SIZE</stp>
        <stp>WAT</stp>
        <tr r="I475" s="1"/>
      </tp>
      <tp>
        <v>0</v>
        <stp/>
        <stp>ASK_SIZE</stp>
        <stp>WAG</stp>
        <tr r="I474" s="1"/>
      </tp>
      <tp>
        <v>1</v>
        <stp/>
        <stp>BID_SIZE</stp>
        <stp>MMC</stp>
        <tr r="H304" s="1"/>
      </tp>
      <tp>
        <v>5</v>
        <stp/>
        <stp>BID_SIZE</stp>
        <stp>MMM</stp>
        <tr r="H305" s="1"/>
      </tp>
      <tp>
        <v>1</v>
        <stp/>
        <stp>BID_SIZE</stp>
        <stp>MKC</stp>
        <tr r="H303" s="1"/>
      </tp>
      <tp>
        <v>1</v>
        <stp/>
        <stp>ASK_SIZE</stp>
        <stp>WDC</stp>
        <tr r="I476" s="1"/>
      </tp>
      <tp>
        <v>3</v>
        <stp/>
        <stp>ASK_SIZE</stp>
        <stp>WEC</stp>
        <tr r="I477" s="1"/>
      </tp>
      <tp>
        <v>0</v>
        <stp/>
        <stp>BID_SIZE</stp>
        <stp>MJN</stp>
        <tr r="H302" s="1"/>
      </tp>
      <tp>
        <v>1</v>
        <stp/>
        <stp>ASK_SIZE</stp>
        <stp>WFC</stp>
        <tr r="I478" s="1"/>
      </tp>
      <tp>
        <v>0</v>
        <stp/>
        <stp>ASK_SIZE</stp>
        <stp>WFM</stp>
        <tr r="I479" s="1"/>
      </tp>
      <tp>
        <v>0</v>
        <stp/>
        <stp>BID_SIZE</stp>
        <stp>MHP</stp>
        <tr r="H301" s="1"/>
      </tp>
      <tp t="s">
        <v>N/A</v>
        <stp/>
        <stp>NET_CHANGE</stp>
        <stp>FRX</stp>
        <tr r="E192" s="1"/>
      </tp>
      <tp>
        <v>0.3</v>
        <stp/>
        <stp>NET_CHANGE</stp>
        <stp>FTR</stp>
        <tr r="E195" s="1"/>
      </tp>
      <tp>
        <v>0.08</v>
        <stp/>
        <stp>NET_CHANGE</stp>
        <stp>FTI</stp>
        <tr r="E194" s="1"/>
      </tp>
      <tp>
        <v>0.24</v>
        <stp/>
        <stp>NET_CHANGE</stp>
        <stp>FCX</stp>
        <tr r="E178" s="1"/>
      </tp>
      <tp>
        <v>-1.91</v>
        <stp/>
        <stp>NET_CHANGE</stp>
        <stp>FDX</stp>
        <tr r="E180" s="1"/>
      </tp>
      <tp>
        <v>0</v>
        <stp/>
        <stp>NET_CHANGE</stp>
        <stp>FDO</stp>
        <tr r="E179" s="1"/>
      </tp>
      <tp>
        <v>-1.1399999999999999</v>
        <stp/>
        <stp>NET_CHANGE</stp>
        <stp>FIS</stp>
        <tr r="E184" s="1"/>
      </tp>
      <tp>
        <v>0.1</v>
        <stp/>
        <stp>NET_CHANGE</stp>
        <stp>FHN</stp>
        <tr r="E183" s="1"/>
      </tp>
      <tp>
        <v>-0.38</v>
        <stp/>
        <stp>NET_CHANGE</stp>
        <stp>FMC</stp>
        <tr r="E190" s="1"/>
      </tp>
      <tp>
        <v>0.13</v>
        <stp/>
        <stp>NET_CHANGE</stp>
        <stp>FLS</stp>
        <tr r="E189" s="1"/>
      </tp>
      <tp>
        <v>0.28000000000000003</v>
        <stp/>
        <stp>NET_CHANGE</stp>
        <stp>FLR</stp>
        <tr r="E188" s="1"/>
      </tp>
      <tp>
        <v>3</v>
        <stp/>
        <stp>BID_SIZE</stp>
        <stp>LUV</stp>
        <tr r="H286" s="1"/>
      </tp>
      <tp>
        <v>1</v>
        <stp/>
        <stp>BID_SIZE</stp>
        <stp>LUK</stp>
        <tr r="H285" s="1"/>
      </tp>
      <tp>
        <v>0</v>
        <stp/>
        <stp>BID_SIZE</stp>
        <stp>LTD</stp>
        <tr r="H284" s="1"/>
      </tp>
      <tp>
        <v>1</v>
        <stp/>
        <stp>BID_SIZE</stp>
        <stp>LSI</stp>
        <tr r="H283" s="1"/>
      </tp>
      <tp>
        <v>1</v>
        <stp/>
        <stp>ASK_SIZE</stp>
        <stp>VTR</stp>
        <tr r="I472" s="1"/>
      </tp>
      <tp>
        <v>2</v>
        <stp/>
        <stp>BID_SIZE</stp>
        <stp>LYB</stp>
        <tr r="H287" s="1"/>
      </tp>
      <tp>
        <v>1</v>
        <stp/>
        <stp>BID_SIZE</stp>
        <stp>LEG</stp>
        <tr r="H270" s="1"/>
      </tp>
      <tp>
        <v>5</v>
        <stp/>
        <stp>BID_SIZE</stp>
        <stp>LEN</stp>
        <tr r="H271" s="1"/>
      </tp>
      <tp>
        <v>3</v>
        <stp/>
        <stp>ASK_SIZE</stp>
        <stp>VLO</stp>
        <tr r="I468" s="1"/>
      </tp>
      <tp>
        <v>2</v>
        <stp/>
        <stp>ASK_SIZE</stp>
        <stp>VMC</stp>
        <tr r="I469" s="1"/>
      </tp>
      <tp>
        <v>1</v>
        <stp/>
        <stp>ASK_SIZE</stp>
        <stp>VNO</stp>
        <tr r="I470" s="1"/>
      </tp>
      <tp>
        <v>5</v>
        <stp/>
        <stp>BID_SIZE</stp>
        <stp>LOW</stp>
        <tr r="H281" s="1"/>
      </tp>
      <tp>
        <v>1</v>
        <stp/>
        <stp>ASK_SIZE</stp>
        <stp>VAR</stp>
        <tr r="I465" s="1"/>
      </tp>
      <tp>
        <v>1</v>
        <stp/>
        <stp>BID_SIZE</stp>
        <stp>LNC</stp>
        <tr r="H279" s="1"/>
      </tp>
      <tp>
        <v>1</v>
        <stp/>
        <stp>BID_SIZE</stp>
        <stp>LMT</stp>
        <tr r="H278" s="1"/>
      </tp>
      <tp>
        <v>1</v>
        <stp/>
        <stp>BID_SIZE</stp>
        <stp>LLY</stp>
        <tr r="H276" s="1"/>
      </tp>
      <tp>
        <v>1</v>
        <stp/>
        <stp>BID_SIZE</stp>
        <stp>LLL</stp>
        <tr r="H274" s="1"/>
      </tp>
      <tp>
        <v>1</v>
        <stp/>
        <stp>ASK_SIZE</stp>
        <stp>VFC</stp>
        <tr r="I466" s="1"/>
      </tp>
      <tp>
        <v>0.21</v>
        <stp/>
        <stp>NET_CHANGE</stp>
        <stp>APH</stp>
        <tr r="E44" s="1"/>
      </tp>
      <tp>
        <v>0.4</v>
        <stp/>
        <stp>NET_CHANGE</stp>
        <stp>APD</stp>
        <tr r="E43" s="1"/>
      </tp>
      <tp>
        <v>0.65</v>
        <stp/>
        <stp>NET_CHANGE</stp>
        <stp>APC</stp>
        <tr r="E42" s="1"/>
      </tp>
      <tp>
        <v>0.69</v>
        <stp/>
        <stp>NET_CHANGE</stp>
        <stp>APA</stp>
        <tr r="E41" s="1"/>
      </tp>
      <tp>
        <v>0</v>
        <stp/>
        <stp>NET_CHANGE</stp>
        <stp>ARG</stp>
        <tr r="E46" s="1"/>
      </tp>
      <tp>
        <v>0.04</v>
        <stp/>
        <stp>NET_CHANGE</stp>
        <stp>ATI</stp>
        <tr r="E47" s="1"/>
      </tp>
      <tp>
        <v>0.04</v>
        <stp/>
        <stp>NET_CHANGE</stp>
        <stp>AVY</stp>
        <tr r="E50" s="1"/>
      </tp>
      <tp>
        <v>0.04</v>
        <stp/>
        <stp>NET_CHANGE</stp>
        <stp>AVP</stp>
        <tr r="E49" s="1"/>
      </tp>
      <tp>
        <v>-1.72</v>
        <stp/>
        <stp>NET_CHANGE</stp>
        <stp>AVB</stp>
        <tr r="E48" s="1"/>
      </tp>
      <tp>
        <v>0.13</v>
        <stp/>
        <stp>NET_CHANGE</stp>
        <stp>AXP</stp>
        <tr r="E51" s="1"/>
      </tp>
      <tp>
        <v>10.84</v>
        <stp/>
        <stp>NET_CHANGE</stp>
        <stp>AZO</stp>
        <tr r="E52" s="1"/>
      </tp>
      <tp>
        <v>0</v>
        <stp/>
        <stp>NET_CHANGE</stp>
        <stp>ACT</stp>
        <tr r="E12" s="1"/>
      </tp>
      <tp>
        <v>-1.59</v>
        <stp/>
        <stp>NET_CHANGE</stp>
        <stp>ACN</stp>
        <tr r="E11" s="1"/>
      </tp>
      <tp>
        <v>0</v>
        <stp/>
        <stp>NET_CHANGE</stp>
        <stp>ACE</stp>
        <tr r="E10" s="1"/>
      </tp>
      <tp>
        <v>0.02</v>
        <stp/>
        <stp>NET_CHANGE</stp>
        <stp>ABT</stp>
        <tr r="E9" s="1"/>
      </tp>
      <tp>
        <v>-1.0900000000000001</v>
        <stp/>
        <stp>NET_CHANGE</stp>
        <stp>ABC</stp>
        <tr r="E8" s="1"/>
      </tp>
      <tp>
        <v>-1.56</v>
        <stp/>
        <stp>NET_CHANGE</stp>
        <stp>AET</stp>
        <tr r="E22" s="1"/>
      </tp>
      <tp>
        <v>-0.16</v>
        <stp/>
        <stp>NET_CHANGE</stp>
        <stp>AES</stp>
        <tr r="E21" s="1"/>
      </tp>
      <tp>
        <v>-0.38</v>
        <stp/>
        <stp>NET_CHANGE</stp>
        <stp>AEP</stp>
        <tr r="E20" s="1"/>
      </tp>
      <tp>
        <v>-0.34</v>
        <stp/>
        <stp>NET_CHANGE</stp>
        <stp>AEE</stp>
        <tr r="E19" s="1"/>
      </tp>
      <tp>
        <v>0</v>
        <stp/>
        <stp>NET_CHANGE</stp>
        <stp>ADT</stp>
        <tr r="E18" s="1"/>
      </tp>
      <tp>
        <v>0.03</v>
        <stp/>
        <stp>NET_CHANGE</stp>
        <stp>ADP</stp>
        <tr r="E16" s="1"/>
      </tp>
      <tp>
        <v>0.23</v>
        <stp/>
        <stp>NET_CHANGE</stp>
        <stp>ADM</stp>
        <tr r="E15" s="1"/>
      </tp>
      <tp>
        <v>-0.06</v>
        <stp/>
        <stp>NET_CHANGE</stp>
        <stp>ADI</stp>
        <tr r="E14" s="1"/>
      </tp>
      <tp>
        <v>7.0000000000000007E-2</v>
        <stp/>
        <stp>NET_CHANGE</stp>
        <stp>AGN</stp>
        <tr r="E24" s="1"/>
      </tp>
      <tp>
        <v>-0.46</v>
        <stp/>
        <stp>NET_CHANGE</stp>
        <stp>AFL</stp>
        <tr r="E23" s="1"/>
      </tp>
      <tp>
        <v>1.1200000000000001</v>
        <stp/>
        <stp>NET_CHANGE</stp>
        <stp>AIZ</stp>
        <tr r="E27" s="1"/>
      </tp>
      <tp>
        <v>-0.5</v>
        <stp/>
        <stp>NET_CHANGE</stp>
        <stp>AIV</stp>
        <tr r="E26" s="1"/>
      </tp>
      <tp>
        <v>0</v>
        <stp/>
        <stp>NET_CHANGE</stp>
        <stp>AIG</stp>
        <tr r="E25" s="1"/>
      </tp>
      <tp>
        <v>-2.5299999999999998</v>
        <stp/>
        <stp>NET_CHANGE</stp>
        <stp>AMT</stp>
        <tr r="E36" s="1"/>
      </tp>
      <tp>
        <v>1.2</v>
        <stp/>
        <stp>NET_CHANGE</stp>
        <stp>AMP</stp>
        <tr r="E35" s="1"/>
      </tp>
      <tp>
        <v>0.13</v>
        <stp/>
        <stp>NET_CHANGE</stp>
        <stp>AMD</stp>
        <tr r="E33" s="1"/>
      </tp>
      <tp>
        <v>0.6</v>
        <stp/>
        <stp>NET_CHANGE</stp>
        <stp>ALL</stp>
        <tr r="E29" s="1"/>
      </tp>
      <tp>
        <v>-0.1</v>
        <stp/>
        <stp>NET_CHANGE</stp>
        <stp>AON</stp>
        <tr r="E40" s="1"/>
      </tp>
      <tp>
        <v>3</v>
        <stp/>
        <stp>NET_CHANGE</stp>
        <stp>ANF</stp>
        <tr r="E39" s="1"/>
      </tp>
      <tp>
        <v>20</v>
        <stp/>
        <stp>BID_SIZE</stp>
        <stp>KSS</stp>
        <tr r="H268" s="1"/>
      </tp>
      <tp>
        <v>8</v>
        <stp/>
        <stp>BID_SIZE</stp>
        <stp>KEY</stp>
        <tr r="H259" s="1"/>
      </tp>
      <tp>
        <v>5</v>
        <stp/>
        <stp>BID_SIZE</stp>
        <stp>KMX</stp>
        <tr r="H264" s="1"/>
      </tp>
      <tp>
        <v>1</v>
        <stp/>
        <stp>BID_SIZE</stp>
        <stp>KMB</stp>
        <tr r="H262" s="1"/>
      </tp>
      <tp>
        <v>102</v>
        <stp/>
        <stp>BID_SIZE</stp>
        <stp>KMI</stp>
        <tr r="H263" s="1"/>
      </tp>
      <tp>
        <v>2</v>
        <stp/>
        <stp>ASK_SIZE</stp>
        <stp>QEP</stp>
        <tr r="I387" s="1"/>
      </tp>
      <tp>
        <v>1</v>
        <stp/>
        <stp>BID_SIZE</stp>
        <stp>KIM</stp>
        <tr r="H260" s="1"/>
      </tp>
      <tp t="s">
        <v>Range Bound</v>
        <stp/>
        <stp>STRENGTH_METER</stp>
        <stp>PAYX</stp>
        <tr r="C350" s="1"/>
      </tp>
      <tp t="s">
        <v>Range Bound</v>
        <stp/>
        <stp>STRENGTH_METER</stp>
        <stp>FAST</stp>
        <tr r="C177" s="1"/>
      </tp>
      <tp t="s">
        <v>Range Bound</v>
        <stp/>
        <stp>STRENGTH_METER</stp>
        <stp>AAPL</stp>
        <tr r="C6" s="1"/>
      </tp>
      <tp>
        <v>1</v>
        <stp/>
        <stp>ASK_SIZE</stp>
        <stp>PXD</stp>
        <tr r="I385" s="1"/>
      </tp>
      <tp>
        <v>3</v>
        <stp/>
        <stp>BID_SIZE</stp>
        <stp>JWN</stp>
        <tr r="H257" s="1"/>
      </tp>
      <tp>
        <v>5</v>
        <stp/>
        <stp>BID_SIZE</stp>
        <stp>JPM</stp>
        <tr r="H256" s="1"/>
      </tp>
      <tp>
        <v>1</v>
        <stp/>
        <stp>ASK_SIZE</stp>
        <stp>PPG</stp>
        <tr r="I376" s="1"/>
      </tp>
      <tp>
        <v>1</v>
        <stp/>
        <stp>ASK_SIZE</stp>
        <stp>PPL</stp>
        <tr r="I377" s="1"/>
      </tp>
      <tp>
        <v>1</v>
        <stp/>
        <stp>ASK_SIZE</stp>
        <stp>PRU</stp>
        <tr r="I379" s="1"/>
      </tp>
      <tp>
        <v>5</v>
        <stp/>
        <stp>ASK_SIZE</stp>
        <stp>PSX</stp>
        <tr r="I381" s="1"/>
      </tp>
      <tp>
        <v>1</v>
        <stp/>
        <stp>ASK_SIZE</stp>
        <stp>PSA</stp>
        <tr r="I380" s="1"/>
      </tp>
      <tp>
        <v>1</v>
        <stp/>
        <stp>ASK_SIZE</stp>
        <stp>PVH</stp>
        <tr r="I382" s="1"/>
      </tp>
      <tp>
        <v>1</v>
        <stp/>
        <stp>ASK_SIZE</stp>
        <stp>PWR</stp>
        <tr r="I383" s="1"/>
      </tp>
      <tp>
        <v>1</v>
        <stp/>
        <stp>ASK_SIZE</stp>
        <stp>PHM</stp>
        <tr r="I367" s="1"/>
      </tp>
      <tp>
        <v>1</v>
        <stp/>
        <stp>BID_SIZE</stp>
        <stp>JEC</stp>
        <tr r="H252" s="1"/>
      </tp>
      <tp>
        <v>3</v>
        <stp/>
        <stp>ASK_SIZE</stp>
        <stp>PKI</stp>
        <tr r="I368" s="1"/>
      </tp>
      <tp>
        <v>86</v>
        <stp/>
        <stp>BID_SIZE</stp>
        <stp>JCP</stp>
        <tr r="H250" s="1"/>
      </tp>
      <tp>
        <v>3</v>
        <stp/>
        <stp>ASK_SIZE</stp>
        <stp>PLD</stp>
        <tr r="I369" s="1"/>
      </tp>
      <tp>
        <v>0</v>
        <stp/>
        <stp>ASK_SIZE</stp>
        <stp>PLL</stp>
        <tr r="I370" s="1"/>
      </tp>
      <tp>
        <v>3</v>
        <stp/>
        <stp>BID_SIZE</stp>
        <stp>JCI</stp>
        <tr r="H249" s="1"/>
      </tp>
      <tp>
        <v>1</v>
        <stp/>
        <stp>BID_SIZE</stp>
        <stp>JBL</stp>
        <tr r="H248" s="1"/>
      </tp>
      <tp>
        <v>1</v>
        <stp/>
        <stp>ASK_SIZE</stp>
        <stp>PNW</stp>
        <tr r="I374" s="1"/>
      </tp>
      <tp>
        <v>7</v>
        <stp/>
        <stp>ASK_SIZE</stp>
        <stp>PNR</stp>
        <tr r="I373" s="1"/>
      </tp>
      <tp>
        <v>1</v>
        <stp/>
        <stp>ASK_SIZE</stp>
        <stp>PNC</stp>
        <tr r="I372" s="1"/>
      </tp>
      <tp>
        <v>0</v>
        <stp/>
        <stp>ASK_SIZE</stp>
        <stp>POM</stp>
        <tr r="I375" s="1"/>
      </tp>
      <tp>
        <v>0</v>
        <stp/>
        <stp>BID_SIZE</stp>
        <stp>JOY</stp>
        <tr r="H255" s="1"/>
      </tp>
      <tp>
        <v>1</v>
        <stp/>
        <stp>BID_SIZE</stp>
        <stp>JNJ</stp>
        <tr r="H253" s="1"/>
      </tp>
      <tp>
        <v>16</v>
        <stp/>
        <stp>ASK_SIZE</stp>
        <stp>PBI</stp>
        <tr r="I352" s="1"/>
      </tp>
      <tp>
        <v>0</v>
        <stp/>
        <stp>ASK_SIZE</stp>
        <stp>PCP</stp>
        <tr r="I357" s="1"/>
      </tp>
      <tp>
        <v>4</v>
        <stp/>
        <stp>ASK_SIZE</stp>
        <stp>PCG</stp>
        <tr r="I354" s="1"/>
      </tp>
      <tp>
        <v>0</v>
        <stp/>
        <stp>ASK_SIZE</stp>
        <stp>PCL</stp>
        <tr r="I355" s="1"/>
      </tp>
      <tp>
        <v>1</v>
        <stp/>
        <stp>ASK_SIZE</stp>
        <stp>PEP</stp>
        <tr r="I360" s="1"/>
      </tp>
      <tp>
        <v>1</v>
        <stp/>
        <stp>ASK_SIZE</stp>
        <stp>PEG</stp>
        <tr r="I359" s="1"/>
      </tp>
      <tp>
        <v>8</v>
        <stp/>
        <stp>ASK_SIZE</stp>
        <stp>PFE</stp>
        <tr r="I362" s="1"/>
      </tp>
      <tp>
        <v>1</v>
        <stp/>
        <stp>ASK_SIZE</stp>
        <stp>PFG</stp>
        <tr r="I363" s="1"/>
      </tp>
      <tp>
        <v>1</v>
        <stp/>
        <stp>ASK_SIZE</stp>
        <stp>PGR</stp>
        <tr r="I365" s="1"/>
      </tp>
      <tp>
        <v>1.4</v>
        <stp/>
        <stp>NET_CHANGE</stp>
        <stp>CPB</stp>
        <tr r="E116" s="1"/>
      </tp>
      <tp>
        <v>-0.2</v>
        <stp/>
        <stp>NET_CHANGE</stp>
        <stp>CSX</stp>
        <tr r="E120" s="1"/>
      </tp>
      <tp>
        <v>0</v>
        <stp/>
        <stp>NET_CHANGE</stp>
        <stp>CSC</stp>
        <tr r="E118" s="1"/>
      </tp>
      <tp>
        <v>0.55000000000000004</v>
        <stp/>
        <stp>NET_CHANGE</stp>
        <stp>CRM</stp>
        <tr r="E117" s="1"/>
      </tp>
      <tp>
        <v>0.05</v>
        <stp/>
        <stp>NET_CHANGE</stp>
        <stp>CTL</stp>
        <tr r="E122" s="1"/>
      </tp>
      <tp>
        <v>0.14000000000000001</v>
        <stp/>
        <stp>NET_CHANGE</stp>
        <stp>CVX</stp>
        <tr r="E127" s="1"/>
      </tp>
      <tp>
        <v>0.42</v>
        <stp/>
        <stp>NET_CHANGE</stp>
        <stp>CVS</stp>
        <tr r="E126" s="1"/>
      </tp>
      <tp>
        <v>0</v>
        <stp/>
        <stp>NET_CHANGE</stp>
        <stp>CVC</stp>
        <tr r="E125" s="1"/>
      </tp>
      <tp>
        <v>-0.23</v>
        <stp/>
        <stp>NET_CHANGE</stp>
        <stp>CAT</stp>
        <tr r="E83" s="1"/>
      </tp>
      <tp>
        <v>0</v>
        <stp/>
        <stp>NET_CHANGE</stp>
        <stp>CAM</stp>
        <tr r="E82" s="1"/>
      </tp>
      <tp>
        <v>0.09</v>
        <stp/>
        <stp>NET_CHANGE</stp>
        <stp>CAH</stp>
        <tr r="E81" s="1"/>
      </tp>
      <tp>
        <v>0.09</v>
        <stp/>
        <stp>NET_CHANGE</stp>
        <stp>CAG</stp>
        <tr r="E80" s="1"/>
      </tp>
      <tp>
        <v>0.4</v>
        <stp/>
        <stp>NET_CHANGE</stp>
        <stp>CCL</stp>
        <tr r="E89" s="1"/>
      </tp>
      <tp>
        <v>-1.1000000000000001</v>
        <stp/>
        <stp>NET_CHANGE</stp>
        <stp>CCI</stp>
        <tr r="E88" s="1"/>
      </tp>
      <tp>
        <v>-0.14000000000000001</v>
        <stp/>
        <stp>NET_CHANGE</stp>
        <stp>CCE</stp>
        <tr r="E87" s="1"/>
      </tp>
      <tp>
        <v>0.34</v>
        <stp/>
        <stp>NET_CHANGE</stp>
        <stp>CBS</stp>
        <tr r="E86" s="1"/>
      </tp>
      <tp>
        <v>-0.21</v>
        <stp/>
        <stp>NET_CHANGE</stp>
        <stp>CBG</stp>
        <tr r="E85" s="1"/>
      </tp>
      <tp t="s">
        <v>N/A</v>
        <stp/>
        <stp>NET_CHANGE</stp>
        <stp>CFN</stp>
        <tr r="E93" s="1"/>
      </tp>
      <tp>
        <v>0.17</v>
        <stp/>
        <stp>NET_CHANGE</stp>
        <stp>CHK</stp>
        <tr r="E94" s="1"/>
      </tp>
      <tp>
        <v>-0.57999999999999996</v>
        <stp/>
        <stp>NET_CHANGE</stp>
        <stp>CMS</stp>
        <tr r="E106" s="1"/>
      </tp>
      <tp>
        <v>-7.72</v>
        <stp/>
        <stp>NET_CHANGE</stp>
        <stp>CMI</stp>
        <tr r="E105" s="1"/>
      </tp>
      <tp>
        <v>6.14</v>
        <stp/>
        <stp>NET_CHANGE</stp>
        <stp>CMG</stp>
        <tr r="E104" s="1"/>
      </tp>
      <tp>
        <v>-0.6</v>
        <stp/>
        <stp>NET_CHANGE</stp>
        <stp>CME</stp>
        <tr r="E103" s="1"/>
      </tp>
      <tp>
        <v>0.71</v>
        <stp/>
        <stp>NET_CHANGE</stp>
        <stp>CMA</stp>
        <tr r="E101" s="1"/>
      </tp>
      <tp>
        <v>-1.03</v>
        <stp/>
        <stp>NET_CHANGE</stp>
        <stp>CLX</stp>
        <tr r="E100" s="1"/>
      </tp>
      <tp>
        <v>0.11</v>
        <stp/>
        <stp>NET_CHANGE</stp>
        <stp>CLF</stp>
        <tr r="E99" s="1"/>
      </tp>
      <tp t="s">
        <v>N/A</v>
        <stp/>
        <stp>NET_CHANGE</stp>
        <stp>COV</stp>
        <tr r="E115" s="1"/>
      </tp>
      <tp>
        <v>-0.09</v>
        <stp/>
        <stp>NET_CHANGE</stp>
        <stp>COP</stp>
        <tr r="E113" s="1"/>
      </tp>
      <tp>
        <v>-0.34</v>
        <stp/>
        <stp>NET_CHANGE</stp>
        <stp>COL</stp>
        <tr r="E112" s="1"/>
      </tp>
      <tp>
        <v>0</v>
        <stp/>
        <stp>NET_CHANGE</stp>
        <stp>COH</stp>
        <tr r="E111" s="1"/>
      </tp>
      <tp>
        <v>0.65</v>
        <stp/>
        <stp>NET_CHANGE</stp>
        <stp>COG</stp>
        <tr r="E110" s="1"/>
      </tp>
      <tp>
        <v>0.68</v>
        <stp/>
        <stp>NET_CHANGE</stp>
        <stp>COF</stp>
        <tr r="E109" s="1"/>
      </tp>
      <tp>
        <v>0.77</v>
        <stp/>
        <stp>NET_CHANGE</stp>
        <stp>CNX</stp>
        <tr r="E108" s="1"/>
      </tp>
      <tp>
        <v>-0.03</v>
        <stp/>
        <stp>NET_CHANGE</stp>
        <stp>CNP</stp>
        <tr r="E107" s="1"/>
      </tp>
      <tp>
        <v>38100433</v>
        <stp/>
        <stp>VOLUME</stp>
        <stp>CMCSA</stp>
        <tr r="J102" s="1"/>
      </tp>
      <tp t="s">
        <v>Range Bound</v>
        <stp/>
        <stp>STRENGTH_METER</stp>
        <stp>SBUX</stp>
        <tr r="C404" s="1"/>
      </tp>
      <tp t="s">
        <v>Range Bound</v>
        <stp/>
        <stp>STRENGTH_METER</stp>
        <stp>PBCT</stp>
        <tr r="C351" s="1"/>
      </tp>
      <tp t="s">
        <v>Range Bound</v>
        <stp/>
        <stp>STRENGTH_METER</stp>
        <stp>BBBY</stp>
        <tr r="C56" s="1"/>
      </tp>
      <tp t="s">
        <v>Range Bound</v>
        <stp/>
        <stp>STRENGTH_METER</stp>
        <stp>ABBV</stp>
        <tr r="C7" s="1"/>
      </tp>
      <tp t="s">
        <v>Range Bound</v>
        <stp/>
        <stp>STRENGTH_METER</stp>
        <stp>HBAN</stp>
        <tr r="C215" s="1"/>
      </tp>
      <tp t="s">
        <v>Range Bound</v>
        <stp/>
        <stp>STRENGTH_METER</stp>
        <stp>EBAY</stp>
        <tr r="C155" s="1"/>
      </tp>
      <tp>
        <v>2</v>
        <stp/>
        <stp>ASK_SIZE</stp>
        <stp>SYY</stp>
        <tr r="I432" s="1"/>
      </tp>
      <tp>
        <v>4</v>
        <stp/>
        <stp>BID_SIZE</stp>
        <stp>IVZ</stp>
        <tr r="H247" s="1"/>
      </tp>
      <tp>
        <v>0</v>
        <stp/>
        <stp>ASK_SIZE</stp>
        <stp>SYK</stp>
        <tr r="I430" s="1"/>
      </tp>
      <tp>
        <v>1</v>
        <stp/>
        <stp>BID_SIZE</stp>
        <stp>ITW</stp>
        <tr r="H246" s="1"/>
      </tp>
      <tp>
        <v>1</v>
        <stp/>
        <stp>BID_SIZE</stp>
        <stp>IRM</stp>
        <tr r="H244" s="1"/>
      </tp>
      <tp>
        <v>1</v>
        <stp/>
        <stp>BID_SIZE</stp>
        <stp>IPG</stp>
        <tr r="H242" s="1"/>
      </tp>
      <tp>
        <v>1</v>
        <stp/>
        <stp>ASK_SIZE</stp>
        <stp>SPG</stp>
        <tr r="I418" s="1"/>
      </tp>
      <tp>
        <v>0</v>
        <stp/>
        <stp>ASK_SIZE</stp>
        <stp>SRE</stp>
        <tr r="I421" s="1"/>
      </tp>
      <tp>
        <v>1</v>
        <stp/>
        <stp>ASK_SIZE</stp>
        <stp>STT</stp>
        <tr r="I424" s="1"/>
      </tp>
      <tp>
        <v>1</v>
        <stp/>
        <stp>ASK_SIZE</stp>
        <stp>STX</stp>
        <tr r="I425" s="1"/>
      </tp>
      <tp>
        <v>1</v>
        <stp/>
        <stp>ASK_SIZE</stp>
        <stp>STZ</stp>
        <tr r="I426" s="1"/>
      </tp>
      <tp>
        <v>1</v>
        <stp/>
        <stp>ASK_SIZE</stp>
        <stp>STI</stp>
        <tr r="I422" s="1"/>
      </tp>
      <tp>
        <v>0</v>
        <stp/>
        <stp>ASK_SIZE</stp>
        <stp>STJ</stp>
        <tr r="I423" s="1"/>
      </tp>
      <tp>
        <v>0</v>
        <stp/>
        <stp>ASK_SIZE</stp>
        <stp>SWY</stp>
        <tr r="I429" s="1"/>
      </tp>
      <tp>
        <v>2</v>
        <stp/>
        <stp>ASK_SIZE</stp>
        <stp>SWN</stp>
        <tr r="I428" s="1"/>
      </tp>
      <tp>
        <v>1</v>
        <stp/>
        <stp>ASK_SIZE</stp>
        <stp>SWK</stp>
        <tr r="I427" s="1"/>
      </tp>
      <tp>
        <v>10</v>
        <stp/>
        <stp>BID_SIZE</stp>
        <stp>IGT</stp>
        <tr r="H238" s="1"/>
      </tp>
      <tp>
        <v>1</v>
        <stp/>
        <stp>ASK_SIZE</stp>
        <stp>SHW</stp>
        <tr r="I409" s="1"/>
      </tp>
      <tp>
        <v>1</v>
        <stp/>
        <stp>BID_SIZE</stp>
        <stp>IFF</stp>
        <tr r="H237" s="1"/>
      </tp>
      <tp>
        <v>1</v>
        <stp/>
        <stp>ASK_SIZE</stp>
        <stp>SJM</stp>
        <tr r="I411" s="1"/>
      </tp>
      <tp>
        <v>3</v>
        <stp/>
        <stp>BID_SIZE</stp>
        <stp>ICE</stp>
        <tr r="H236" s="1"/>
      </tp>
      <tp>
        <v>1</v>
        <stp/>
        <stp>ASK_SIZE</stp>
        <stp>SLB</stp>
        <tr r="I412" s="1"/>
      </tp>
      <tp>
        <v>7</v>
        <stp/>
        <stp>ASK_SIZE</stp>
        <stp>SLM</stp>
        <tr r="I413" s="1"/>
      </tp>
      <tp>
        <v>1</v>
        <stp/>
        <stp>BID_SIZE</stp>
        <stp>IBM</stp>
        <tr r="H235" s="1"/>
      </tp>
      <tp>
        <v>1</v>
        <stp/>
        <stp>ASK_SIZE</stp>
        <stp>SNA</stp>
        <tr r="I414" s="1"/>
      </tp>
      <tp>
        <v>1</v>
        <stp/>
        <stp>ASK_SIZE</stp>
        <stp>SNI</stp>
        <tr r="I416" s="1"/>
      </tp>
      <tp>
        <v>0</v>
        <stp/>
        <stp>ASK_SIZE</stp>
        <stp>SAI</stp>
        <tr r="I403" s="1"/>
      </tp>
      <tp>
        <v>1</v>
        <stp/>
        <stp>ASK_SIZE</stp>
        <stp>SCG</stp>
        <tr r="I405" s="1"/>
      </tp>
      <tp>
        <v>1</v>
        <stp/>
        <stp>ASK_SIZE</stp>
        <stp>SEE</stp>
        <tr r="I408" s="1"/>
      </tp>
      <tp>
        <v>-0.02</v>
        <stp/>
        <stp>NET_CHANGE</stp>
        <stp>BSX</stp>
        <tr r="E74" s="1"/>
      </tp>
      <tp>
        <v>0.05</v>
        <stp/>
        <stp>NET_CHANGE</stp>
        <stp>BTU</stp>
        <tr r="E75" s="1"/>
      </tp>
      <tp>
        <v>-0.1</v>
        <stp/>
        <stp>NET_CHANGE</stp>
        <stp>BWA</stp>
        <tr r="E76" s="1"/>
      </tp>
      <tp>
        <v>-0.14000000000000001</v>
        <stp/>
        <stp>NET_CHANGE</stp>
        <stp>BXP</stp>
        <tr r="E77" s="1"/>
      </tp>
      <tp>
        <v>-1.1100000000000001</v>
        <stp/>
        <stp>NET_CHANGE</stp>
        <stp>BAX</stp>
        <tr r="E55" s="1"/>
      </tp>
      <tp>
        <v>-0.14000000000000001</v>
        <stp/>
        <stp>NET_CHANGE</stp>
        <stp>BAC</stp>
        <tr r="E54" s="1"/>
      </tp>
      <tp>
        <v>-0.69</v>
        <stp/>
        <stp>NET_CHANGE</stp>
        <stp>BCR</stp>
        <tr r="E59" s="1"/>
      </tp>
      <tp>
        <v>0.57999999999999996</v>
        <stp/>
        <stp>NET_CHANGE</stp>
        <stp>BBY</stp>
        <tr r="E58" s="1"/>
      </tp>
      <tp>
        <v>0.05</v>
        <stp/>
        <stp>NET_CHANGE</stp>
        <stp>BBT</stp>
        <tr r="E57" s="1"/>
      </tp>
      <tp>
        <v>-7.0000000000000007E-2</v>
        <stp/>
        <stp>NET_CHANGE</stp>
        <stp>BEN</stp>
        <tr r="E62" s="1"/>
      </tp>
      <tp>
        <v>-1.21</v>
        <stp/>
        <stp>NET_CHANGE</stp>
        <stp>BDX</stp>
        <tr r="E60" s="1"/>
      </tp>
      <tp>
        <v>0</v>
        <stp/>
        <stp>NET_CHANGE</stp>
        <stp>BHI</stp>
        <tr r="E64" s="1"/>
      </tp>
      <tp>
        <v>-0.55000000000000004</v>
        <stp/>
        <stp>NET_CHANGE</stp>
        <stp>BMY</stp>
        <tr r="E71" s="1"/>
      </tp>
      <tp>
        <v>0.22</v>
        <stp/>
        <stp>NET_CHANGE</stp>
        <stp>BMS</stp>
        <tr r="E70" s="1"/>
      </tp>
      <tp t="s">
        <v>N/A</v>
        <stp/>
        <stp>NET_CHANGE</stp>
        <stp>BMC</stp>
        <tr r="E69" s="1"/>
      </tp>
      <tp>
        <v>-0.54</v>
        <stp/>
        <stp>NET_CHANGE</stp>
        <stp>BLL</stp>
        <tr r="E68" s="1"/>
      </tp>
      <tp>
        <v>-0.03</v>
        <stp/>
        <stp>NET_CHANGE</stp>
        <stp>BLK</stp>
        <tr r="E67" s="1"/>
      </tp>
      <tp>
        <v>0</v>
        <stp/>
        <stp>ASK_SIZE</stp>
        <stp>BRK-B</stp>
        <tr r="I73" s="1"/>
      </tp>
      <tp>
        <v>0</v>
        <stp/>
        <stp>BID_SIZE</stp>
        <stp>BRK-B</stp>
        <tr r="H73" s="1"/>
      </tp>
      <tp>
        <v>0.15</v>
        <stp/>
        <stp>NET_CHANGE</stp>
        <stp>X</stp>
        <tr r="E492" s="1"/>
      </tp>
      <tp>
        <v>-0.01</v>
        <stp/>
        <stp>NET_CHANGE</stp>
        <stp>T</stp>
        <tr r="E433" s="1"/>
      </tp>
      <tp>
        <v>-1.2</v>
        <stp/>
        <stp>NET_CHANGE</stp>
        <stp>V</stp>
        <tr r="E464" s="1"/>
      </tp>
      <tp>
        <v>-0.02</v>
        <stp/>
        <stp>NET_CHANGE</stp>
        <stp>S</stp>
        <tr r="E402" s="1"/>
      </tp>
      <tp>
        <v>-3.46</v>
        <stp/>
        <stp>NET_CHANGE</stp>
        <stp>R</stp>
        <tr r="E388" s="1"/>
      </tp>
      <tp>
        <v>0.1</v>
        <stp/>
        <stp>NET_CHANGE</stp>
        <stp>M</stp>
        <tr r="E288" s="1"/>
      </tp>
      <tp>
        <v>0.02</v>
        <stp/>
        <stp>NET_CHANGE</stp>
        <stp>L</stp>
        <tr r="E269" s="1"/>
      </tp>
      <tp>
        <v>0.08</v>
        <stp/>
        <stp>NET_CHANGE</stp>
        <stp>K</stp>
        <tr r="E258" s="1"/>
      </tp>
      <tp>
        <v>-0.64</v>
        <stp/>
        <stp>NET_CHANGE</stp>
        <stp>D</stp>
        <tr r="E128" s="1"/>
      </tp>
      <tp>
        <v>-0.03</v>
        <stp/>
        <stp>NET_CHANGE</stp>
        <stp>F</stp>
        <tr r="E176" s="1"/>
      </tp>
      <tp>
        <v>0.05</v>
        <stp/>
        <stp>NET_CHANGE</stp>
        <stp>A</stp>
        <tr r="E4" s="1"/>
      </tp>
      <tp>
        <v>-0.34</v>
        <stp/>
        <stp>NET_CHANGE</stp>
        <stp>C</stp>
        <tr r="E78" s="1"/>
      </tp>
      <tp t="s">
        <v>Range Bound</v>
        <stp/>
        <stp>STRENGTH_METER</stp>
        <stp>SCHW</stp>
        <tr r="C406" s="1"/>
      </tp>
      <tp t="s">
        <v>Range Bound</v>
        <stp/>
        <stp>STRENGTH_METER</stp>
        <stp>MCHP</stp>
        <tr r="C295" s="1"/>
      </tp>
      <tp t="s">
        <v>Uptrend</v>
        <stp/>
        <stp>STRENGTH_METER</stp>
        <stp>QCOM</stp>
        <tr r="C386" s="1"/>
      </tp>
      <tp t="s">
        <v>Range Bound</v>
        <stp/>
        <stp>STRENGTH_METER</stp>
        <stp>PCLN</stp>
        <tr r="C356" s="1"/>
      </tp>
      <tp t="s">
        <v>N/A</v>
        <stp/>
        <stp>STRENGTH_METER</stp>
        <stp>HCBK</stp>
        <tr r="C216" s="1"/>
      </tp>
      <tp t="s">
        <v>Range Bound</v>
        <stp/>
        <stp>STRENGTH_METER</stp>
        <stp>PCAR</stp>
        <tr r="C353" s="1"/>
      </tp>
      <tp>
        <v>3</v>
        <stp/>
        <stp>BID_SIZE</stp>
        <stp>HUM</stp>
        <tr r="H234" s="1"/>
      </tp>
      <tp>
        <v>7</v>
        <stp/>
        <stp>BID_SIZE</stp>
        <stp>HST</stp>
        <tr r="H232" s="1"/>
      </tp>
      <tp>
        <v>0</v>
        <stp/>
        <stp>BID_SIZE</stp>
        <stp>HSP</stp>
        <tr r="H231" s="1"/>
      </tp>
      <tp>
        <v>8</v>
        <stp/>
        <stp>BID_SIZE</stp>
        <stp>HSY</stp>
        <tr r="H233" s="1"/>
      </tp>
      <tp>
        <v>1</v>
        <stp/>
        <stp>BID_SIZE</stp>
        <stp>HRS</stp>
        <tr r="H230" s="1"/>
      </tp>
      <tp>
        <v>1</v>
        <stp/>
        <stp>BID_SIZE</stp>
        <stp>HRB</stp>
        <tr r="H228" s="1"/>
      </tp>
      <tp>
        <v>3</v>
        <stp/>
        <stp>BID_SIZE</stp>
        <stp>HRL</stp>
        <tr r="H229" s="1"/>
      </tp>
      <tp>
        <v>7</v>
        <stp/>
        <stp>BID_SIZE</stp>
        <stp>HPQ</stp>
        <tr r="H227" s="1"/>
      </tp>
      <tp>
        <v>7</v>
        <stp/>
        <stp>ASK_SIZE</stp>
        <stp>RRC</stp>
        <tr r="I399" s="1"/>
      </tp>
      <tp>
        <v>0</v>
        <stp/>
        <stp>ASK_SIZE</stp>
        <stp>RSG</stp>
        <tr r="I400" s="1"/>
      </tp>
      <tp>
        <v>2</v>
        <stp/>
        <stp>ASK_SIZE</stp>
        <stp>RTN</stp>
        <tr r="I401" s="1"/>
      </tp>
      <tp>
        <v>1</v>
        <stp/>
        <stp>ASK_SIZE</stp>
        <stp>RHT</stp>
        <tr r="I394" s="1"/>
      </tp>
      <tp>
        <v>8</v>
        <stp/>
        <stp>ASK_SIZE</stp>
        <stp>RHI</stp>
        <tr r="I393" s="1"/>
      </tp>
      <tp>
        <v>3</v>
        <stp/>
        <stp>BID_SIZE</stp>
        <stp>HES</stp>
        <tr r="H220" s="1"/>
      </tp>
      <tp>
        <v>1</v>
        <stp/>
        <stp>BID_SIZE</stp>
        <stp>HCP</stp>
        <tr r="H218" s="1"/>
      </tp>
      <tp>
        <v>2</v>
        <stp/>
        <stp>BID_SIZE</stp>
        <stp>HCN</stp>
        <tr r="H217" s="1"/>
      </tp>
      <tp>
        <v>0</v>
        <stp/>
        <stp>BID_SIZE</stp>
        <stp>HAR</stp>
        <tr r="H213" s="1"/>
      </tp>
      <tp>
        <v>1</v>
        <stp/>
        <stp>BID_SIZE</stp>
        <stp>HAS</stp>
        <tr r="H214" s="1"/>
      </tp>
      <tp>
        <v>5</v>
        <stp/>
        <stp>BID_SIZE</stp>
        <stp>HAL</stp>
        <tr r="H212" s="1"/>
      </tp>
      <tp>
        <v>0</v>
        <stp/>
        <stp>ASK_SIZE</stp>
        <stp>ROP</stp>
        <tr r="I397" s="1"/>
      </tp>
      <tp>
        <v>20</v>
        <stp/>
        <stp>ASK_SIZE</stp>
        <stp>ROK</stp>
        <tr r="I396" s="1"/>
      </tp>
      <tp>
        <v>0</v>
        <stp/>
        <stp>BID_SIZE</stp>
        <stp>HOT</stp>
        <tr r="H225" s="1"/>
      </tp>
      <tp>
        <v>10</v>
        <stp/>
        <stp>BID_SIZE</stp>
        <stp>HOG</stp>
        <tr r="H223" s="1"/>
      </tp>
      <tp>
        <v>1</v>
        <stp/>
        <stp>BID_SIZE</stp>
        <stp>HON</stp>
        <tr r="H224" s="1"/>
      </tp>
      <tp>
        <v>0</v>
        <stp/>
        <stp>BID_SIZE</stp>
        <stp>HNZ</stp>
        <tr r="H222" s="1"/>
      </tp>
      <tp>
        <v>0</v>
        <stp/>
        <stp>ASK_SIZE</stp>
        <stp>RAI</stp>
        <tr r="I389" s="1"/>
      </tp>
      <tp>
        <v>1</v>
        <stp/>
        <stp>ASK_SIZE</stp>
        <stp>RDC</stp>
        <tr r="I390" s="1"/>
      </tp>
      <tp>
        <v>1</v>
        <stp/>
        <stp>BID_SIZE</stp>
        <stp>HIG</stp>
        <tr r="H221" s="1"/>
      </tp>
      <tp>
        <v>1</v>
        <stp/>
        <stp>ASK_SIZE</stp>
        <stp>EXPE</stp>
        <tr r="I175" s="1"/>
      </tp>
      <tp>
        <v>2</v>
        <stp/>
        <stp>ASK_SIZE</stp>
        <stp>EXPD</stp>
        <tr r="I174" s="1"/>
      </tp>
      <tp>
        <v>3</v>
        <stp/>
        <stp>BID_SIZE</stp>
        <stp>NWSA</stp>
        <tr r="H342" s="1"/>
      </tp>
      <tp>
        <v>3</v>
        <stp/>
        <stp>BID_SIZE</stp>
        <stp>NVDA</stp>
        <tr r="H340" s="1"/>
      </tp>
      <tp>
        <v>4</v>
        <stp/>
        <stp>ASK_SIZE</stp>
        <stp>SYMC</stp>
        <tr r="I431" s="1"/>
      </tp>
      <tp>
        <v>1</v>
        <stp/>
        <stp>ASK_SIZE</stp>
        <stp>WYNN</stp>
        <tr r="I491" s="1"/>
      </tp>
      <tp>
        <v>27.3</v>
        <stp/>
        <stp>ASK</stp>
        <stp>X</stp>
        <tr r="G492" s="1"/>
      </tp>
      <tp>
        <v>77.41</v>
        <stp/>
        <stp>ASK</stp>
        <stp>R</stp>
        <tr r="G388" s="1"/>
      </tp>
      <tp>
        <v>6.21</v>
        <stp/>
        <stp>ASK</stp>
        <stp>S</stp>
        <tr r="G402" s="1"/>
      </tp>
      <tp>
        <v>110.09</v>
        <stp/>
        <stp>ASK</stp>
        <stp>V</stp>
        <tr r="G464" s="1"/>
      </tp>
      <tp>
        <v>34.58</v>
        <stp/>
        <stp>ASK</stp>
        <stp>T</stp>
        <tr r="G433" s="1"/>
      </tp>
      <tp>
        <v>65.95</v>
        <stp/>
        <stp>ASK</stp>
        <stp>K</stp>
        <tr r="G258" s="1"/>
      </tp>
      <tp>
        <v>49.51</v>
        <stp/>
        <stp>ASK</stp>
        <stp>L</stp>
        <tr r="G269" s="1"/>
      </tp>
      <tp>
        <v>20.350000000000001</v>
        <stp/>
        <stp>ASK</stp>
        <stp>M</stp>
        <tr r="G288" s="1"/>
      </tp>
      <tp>
        <v>71.44</v>
        <stp/>
        <stp>ASK</stp>
        <stp>C</stp>
        <tr r="G78" s="1"/>
      </tp>
      <tp>
        <v>69.94</v>
        <stp/>
        <stp>ASK</stp>
        <stp>A</stp>
        <tr r="G4" s="1"/>
      </tp>
      <tp>
        <v>12.01</v>
        <stp/>
        <stp>ASK</stp>
        <stp>F</stp>
        <tr r="G176" s="1"/>
      </tp>
      <tp>
        <v>85.3</v>
        <stp/>
        <stp>ASK</stp>
        <stp>D</stp>
        <tr r="G128" s="1"/>
      </tp>
      <tp>
        <v>58.96</v>
        <stp/>
        <stp>52HIGH</stp>
        <stp>IP</stp>
        <tr r="N241" s="1"/>
      </tp>
      <tp>
        <v>96.23</v>
        <stp/>
        <stp>52HIGH</stp>
        <stp>IR</stp>
        <tr r="N243" s="1"/>
      </tp>
      <tp>
        <v>168.14</v>
        <stp/>
        <stp>52HIGH</stp>
        <stp>HD</stp>
        <tr r="N219" s="1"/>
      </tp>
      <tp>
        <v>85.78</v>
        <stp/>
        <stp>52HIGH</stp>
        <stp>HP</stp>
        <tr r="N226" s="1"/>
      </tp>
      <tp>
        <v>47.48</v>
        <stp/>
        <stp>52HIGH</stp>
        <stp>KO</stp>
        <tr r="N265" s="1"/>
      </tp>
      <tp>
        <v>36.44</v>
        <stp/>
        <stp>52HIGH</stp>
        <stp>KR</stp>
        <tr r="N266" s="1"/>
      </tp>
      <tp>
        <v>77.790000000000006</v>
        <stp/>
        <stp>52HIGH</stp>
        <stp>MO</stp>
        <tr r="N307" s="1"/>
      </tp>
      <tp>
        <v>152</v>
        <stp/>
        <stp>52HIGH</stp>
        <stp>MA</stp>
        <tr r="N289" s="1"/>
      </tp>
      <tp>
        <v>51.52</v>
        <stp/>
        <stp>52HIGH</stp>
        <stp>MS</stp>
        <tr r="N314" s="1"/>
      </tp>
      <tp>
        <v>46.29</v>
        <stp/>
        <stp>52HIGH</stp>
        <stp>MU</stp>
        <tr r="N318" s="1"/>
      </tp>
      <tp>
        <v>164.22</v>
        <stp/>
        <stp>52HIGH</stp>
        <stp>LH</stp>
        <tr r="N272" s="1"/>
      </tp>
      <tp>
        <v>42.08</v>
        <stp/>
        <stp>52HIGH</stp>
        <stp>LM</stp>
        <tr r="N277" s="1"/>
      </tp>
      <tp>
        <v>0</v>
        <stp/>
        <stp>52HIGH</stp>
        <stp>LO</stp>
        <tr r="N280" s="1"/>
      </tp>
      <tp>
        <v>25.9</v>
        <stp/>
        <stp>52HIGH</stp>
        <stp>OI</stp>
        <tr r="N344" s="1"/>
      </tp>
      <tp>
        <v>27.76</v>
        <stp/>
        <stp>52HIGH</stp>
        <stp>NI</stp>
        <tr r="N330" s="1"/>
      </tp>
      <tp>
        <v>8.3699999999999992</v>
        <stp/>
        <stp>52HIGH</stp>
        <stp>NE</stp>
        <tr r="N325" s="1"/>
      </tp>
      <tp>
        <v>149.51</v>
        <stp/>
        <stp>52HIGH</stp>
        <stp>NU</stp>
        <tr r="N338" s="1"/>
      </tp>
      <tp>
        <v>55.77</v>
        <stp/>
        <stp>52HIGH</stp>
        <stp>AN</stp>
        <tr r="N38" s="1"/>
      </tp>
      <tp>
        <v>50.31</v>
        <stp/>
        <stp>52HIGH</stp>
        <stp>AA</stp>
        <tr r="N5" s="1"/>
      </tp>
      <tp>
        <v>206.45</v>
        <stp/>
        <stp>52HIGH</stp>
        <stp>CI</stp>
        <tr r="N96" s="1"/>
      </tp>
      <tp>
        <v>77.27</v>
        <stp/>
        <stp>52HIGH</stp>
        <stp>CL</stp>
        <tr r="N98" s="1"/>
      </tp>
      <tp>
        <v>36.54</v>
        <stp/>
        <stp>52HIGH</stp>
        <stp>CA</stp>
        <tr r="N79" s="1"/>
      </tp>
      <tp>
        <v>156</v>
        <stp/>
        <stp>52HIGH</stp>
        <stp>CB</stp>
        <tr r="N84" s="1"/>
      </tp>
      <tp>
        <v>39.32</v>
        <stp/>
        <stp>52HIGH</stp>
        <stp>CF</stp>
        <tr r="N92" s="1"/>
      </tp>
      <tp>
        <v>55.29</v>
        <stp/>
        <stp>52HIGH</stp>
        <stp>BK</stp>
        <tr r="N66" s="1"/>
      </tp>
      <tp>
        <v>267.62</v>
        <stp/>
        <stp>52HIGH</stp>
        <stp>BA</stp>
        <tr r="N53" s="1"/>
      </tp>
      <tp>
        <v>126.99</v>
        <stp/>
        <stp>52HIGH</stp>
        <stp>EL</stp>
        <tr r="N160" s="1"/>
      </tp>
      <tp>
        <v>122.79</v>
        <stp/>
        <stp>52HIGH</stp>
        <stp>EA</stp>
        <tr r="N154" s="1"/>
      </tp>
      <tp>
        <v>89.58</v>
        <stp/>
        <stp>52HIGH</stp>
        <stp>ED</stp>
        <tr r="N157" s="1"/>
      </tp>
      <tp>
        <v>121.45</v>
        <stp/>
        <stp>52HIGH</stp>
        <stp>EW</stp>
        <tr r="N172" s="1"/>
      </tp>
      <tp>
        <v>22.65</v>
        <stp/>
        <stp>52HIGH</stp>
        <stp>DO</stp>
        <tr r="N144" s="1"/>
      </tp>
      <tp>
        <v>136.69</v>
        <stp/>
        <stp>52HIGH</stp>
        <stp>DE</stp>
        <tr r="N130" s="1"/>
      </tp>
      <tp>
        <v>86.36</v>
        <stp/>
        <stp>52HIGH</stp>
        <stp>DD</stp>
        <tr r="N129" s="1"/>
      </tp>
      <tp>
        <v>85.11</v>
        <stp/>
        <stp>52HIGH</stp>
        <stp>DG</stp>
        <tr r="N134" s="1"/>
      </tp>
      <tp>
        <v>22.31</v>
        <stp/>
        <stp>52HIGH</stp>
        <stp>DF</stp>
        <tr r="N132" s="1"/>
      </tp>
      <tp>
        <v>32.380000000000003</v>
        <stp/>
        <stp>52HIGH</stp>
        <stp>GE</stp>
        <tr r="N199" s="1"/>
      </tp>
      <tp>
        <v>214.81</v>
        <stp/>
        <stp>52HIGH</stp>
        <stp>GD</stp>
        <tr r="N198" s="1"/>
      </tp>
      <tp>
        <v>255.15</v>
        <stp/>
        <stp>52HIGH</stp>
        <stp>GS</stp>
        <tr r="N209" s="1"/>
      </tp>
      <tp>
        <v>37.200000000000003</v>
        <stp/>
        <stp>52HIGH</stp>
        <stp>GT</stp>
        <tr r="N210" s="1"/>
      </tp>
      <tp>
        <v>35.22</v>
        <stp/>
        <stp>52HIGH</stp>
        <stp>FE</stp>
        <tr r="N181" s="1"/>
      </tp>
      <tp>
        <v>47.27</v>
        <stp/>
        <stp>52HIGH</stp>
        <stp>XL</stp>
        <tr r="N494" s="1"/>
      </tp>
      <tp>
        <v>189.83</v>
        <stp/>
        <stp>52HIGH</stp>
        <stp>PH</stp>
        <tr r="N366" s="1"/>
      </tp>
      <tp>
        <v>123.55</v>
        <stp/>
        <stp>52HIGH</stp>
        <stp>PM</stp>
        <tr r="N371" s="1"/>
      </tp>
      <tp>
        <v>94.67</v>
        <stp/>
        <stp>52HIGH</stp>
        <stp>PG</stp>
        <tr r="N364" s="1"/>
      </tp>
      <tp>
        <v>150.25</v>
        <stp/>
        <stp>52HIGH</stp>
        <stp>PX</stp>
        <tr r="N384" s="1"/>
      </tp>
      <tp>
        <v>53.51</v>
        <stp/>
        <stp>52HIGH</stp>
        <stp>SO</stp>
        <tr r="N417" s="1"/>
      </tp>
      <tp>
        <v>16.989999999999998</v>
        <stp/>
        <stp>52HIGH</stp>
        <stp>SE</stp>
        <tr r="N407" s="1"/>
      </tp>
      <tp>
        <v>114</v>
        <stp/>
        <stp>52HIGH</stp>
        <stp>RL</stp>
        <tr r="N395" s="1"/>
      </tp>
      <tp>
        <v>16.03</v>
        <stp/>
        <stp>52HIGH</stp>
        <stp>RF</stp>
        <tr r="N392" s="1"/>
      </tp>
      <tp>
        <v>0</v>
        <stp/>
        <stp>52HIGH</stp>
        <stp>TE</stp>
        <tr r="N436" s="1"/>
      </tp>
      <tp>
        <v>82.87</v>
        <stp/>
        <stp>52HIGH</stp>
        <stp>WM</stp>
        <tr r="N483" s="1"/>
      </tp>
      <tp>
        <v>36.92</v>
        <stp/>
        <stp>52HIGH</stp>
        <stp>WY</stp>
        <tr r="N489" s="1"/>
      </tp>
      <tp>
        <v>22.7</v>
        <stp/>
        <stp>52HIGH</stp>
        <stp>WU</stp>
        <tr r="N488" s="1"/>
      </tp>
      <tp>
        <v>54.83</v>
        <stp/>
        <stp>52HIGH</stp>
        <stp>VZ</stp>
        <tr r="N473" s="1"/>
      </tp>
      <tp>
        <v>3</v>
        <stp/>
        <stp>BID_SIZE</stp>
        <stp>NTRS</stp>
        <tr r="H337" s="1"/>
      </tp>
      <tp>
        <v>1</v>
        <stp/>
        <stp>BID_SIZE</stp>
        <stp>CTSH</stp>
        <tr r="H123" s="1"/>
      </tp>
      <tp>
        <v>2</v>
        <stp/>
        <stp>BID_SIZE</stp>
        <stp>CTXS</stp>
        <tr r="H124" s="1"/>
      </tp>
      <tp>
        <v>1</v>
        <stp/>
        <stp>BID_SIZE</stp>
        <stp>ETFC</stp>
        <tr r="H169" s="1"/>
      </tp>
      <tp>
        <v>1</v>
        <stp/>
        <stp>BID_SIZE</stp>
        <stp>CTAS</stp>
        <tr r="H121" s="1"/>
      </tp>
      <tp>
        <v>1</v>
        <stp/>
        <stp>BID_SIZE</stp>
        <stp>NTAP</stp>
        <tr r="H336" s="1"/>
      </tp>
      <tp>
        <v>1</v>
        <stp/>
        <stp>BID_SIZE</stp>
        <stp>ISRG</stp>
        <tr r="H245" s="1"/>
      </tp>
      <tp>
        <v>10</v>
        <stp/>
        <stp>BID_SIZE</stp>
        <stp>ESRX</stp>
        <tr r="H167" s="1"/>
      </tp>
      <tp>
        <v>4</v>
        <stp/>
        <stp>BID_SIZE</stp>
        <stp>MSFT</stp>
        <tr r="H315" s="1"/>
      </tp>
      <tp>
        <v>14</v>
        <stp/>
        <stp>BID_SIZE</stp>
        <stp>CSCO</stp>
        <tr r="H119" s="1"/>
      </tp>
      <tp>
        <v>1</v>
        <stp/>
        <stp>BID_SIZE</stp>
        <stp>FSLR</stp>
        <tr r="H193" s="1"/>
      </tp>
      <tp>
        <v>0</v>
        <stp/>
        <stp>BID_SIZE</stp>
        <stp>VRSN</stp>
        <tr r="H471" s="1"/>
      </tp>
      <tp>
        <v>0</v>
        <stp/>
        <stp>BID_SIZE</stp>
        <stp>KRFT</stp>
        <tr r="H267" s="1"/>
      </tp>
      <tp>
        <v>3</v>
        <stp/>
        <stp>BID_SIZE</stp>
        <stp>PRGO</stp>
        <tr r="H378" s="1"/>
      </tp>
      <tp>
        <v>3</v>
        <stp/>
        <stp>BID_SIZE</stp>
        <stp>XRAY</stp>
        <tr r="H497" s="1"/>
      </tp>
      <tp>
        <v>15</v>
        <stp/>
        <stp>BID_SIZE</stp>
        <stp>URBN</stp>
        <tr r="H461" s="1"/>
      </tp>
      <tp>
        <v>1</v>
        <stp/>
        <stp>BID_SIZE</stp>
        <stp>SRCL</stp>
        <tr r="H420" s="1"/>
      </tp>
      <tp>
        <v>4</v>
        <stp/>
        <stp>BID_SIZE</stp>
        <stp>ORCL</stp>
        <tr r="H347" s="1"/>
      </tp>
      <tp>
        <v>0</v>
        <stp/>
        <stp>BID_SIZE</stp>
        <stp>BRCM</stp>
        <tr r="H72" s="1"/>
      </tp>
      <tp>
        <v>10</v>
        <stp/>
        <stp>BID_SIZE</stp>
        <stp>LRCX</stp>
        <tr r="H282" s="1"/>
      </tp>
      <tp>
        <v>4</v>
        <stp/>
        <stp>BID_SIZE</stp>
        <stp>ORLY</stp>
        <tr r="H348" s="1"/>
      </tp>
      <tp>
        <v>2</v>
        <stp/>
        <stp>BID_SIZE</stp>
        <stp>GRMN</stp>
        <tr r="H208" s="1"/>
      </tp>
      <tp>
        <v>1</v>
        <stp/>
        <stp>BID_SIZE</stp>
        <stp>TROW</stp>
        <tr r="H447" s="1"/>
      </tp>
      <tp>
        <v>1</v>
        <stp/>
        <stp>BID_SIZE</stp>
        <stp>TRIP</stp>
        <tr r="H446" s="1"/>
      </tp>
      <tp>
        <v>0</v>
        <stp/>
        <stp>VOLUME</stp>
        <stp>TE</stp>
        <tr r="J436" s="1"/>
      </tp>
      <tp>
        <v>2155363</v>
        <stp/>
        <stp>VOLUME</stp>
        <stp>WM</stp>
        <tr r="J483" s="1"/>
      </tp>
      <tp>
        <v>2462517</v>
        <stp/>
        <stp>VOLUME</stp>
        <stp>WU</stp>
        <tr r="J488" s="1"/>
      </tp>
      <tp>
        <v>2395746</v>
        <stp/>
        <stp>VOLUME</stp>
        <stp>WY</stp>
        <tr r="J489" s="1"/>
      </tp>
      <tp>
        <v>18732228</v>
        <stp/>
        <stp>VOLUME</stp>
        <stp>VZ</stp>
        <tr r="J473" s="1"/>
      </tp>
      <tp>
        <v>5920560</v>
        <stp/>
        <stp>VOLUME</stp>
        <stp>PG</stp>
        <tr r="J364" s="1"/>
      </tp>
      <tp>
        <v>640228</v>
        <stp/>
        <stp>VOLUME</stp>
        <stp>PH</stp>
        <tr r="J366" s="1"/>
      </tp>
      <tp>
        <v>4020221</v>
        <stp/>
        <stp>VOLUME</stp>
        <stp>PM</stp>
        <tr r="J371" s="1"/>
      </tp>
      <tp>
        <v>2919280</v>
        <stp/>
        <stp>VOLUME</stp>
        <stp>PX</stp>
        <tr r="J384" s="1"/>
      </tp>
      <tp>
        <v>1253294</v>
        <stp/>
        <stp>VOLUME</stp>
        <stp>SE</stp>
        <tr r="J407" s="1"/>
      </tp>
      <tp>
        <v>5386309</v>
        <stp/>
        <stp>VOLUME</stp>
        <stp>SO</stp>
        <tr r="J417" s="1"/>
      </tp>
      <tp>
        <v>10908184</v>
        <stp/>
        <stp>VOLUME</stp>
        <stp>RF</stp>
        <tr r="J392" s="1"/>
      </tp>
      <tp>
        <v>1077889</v>
        <stp/>
        <stp>VOLUME</stp>
        <stp>RL</stp>
        <tr r="J395" s="1"/>
      </tp>
      <tp>
        <v>2699625</v>
        <stp/>
        <stp>VOLUME</stp>
        <stp>XL</stp>
        <tr r="J494" s="1"/>
      </tp>
      <tp>
        <v>8513884</v>
        <stp/>
        <stp>VOLUME</stp>
        <stp>EA</stp>
        <tr r="J154" s="1"/>
      </tp>
      <tp>
        <v>3067258</v>
        <stp/>
        <stp>VOLUME</stp>
        <stp>ED</stp>
        <tr r="J157" s="1"/>
      </tp>
      <tp>
        <v>2209821</v>
        <stp/>
        <stp>VOLUME</stp>
        <stp>EL</stp>
        <tr r="J160" s="1"/>
      </tp>
      <tp>
        <v>1071667</v>
        <stp/>
        <stp>VOLUME</stp>
        <stp>EW</stp>
        <tr r="J172" s="1"/>
      </tp>
      <tp>
        <v>0</v>
        <stp/>
        <stp>VOLUME</stp>
        <stp>DD</stp>
        <tr r="J129" s="1"/>
      </tp>
      <tp>
        <v>1958393</v>
        <stp/>
        <stp>VOLUME</stp>
        <stp>DE</stp>
        <tr r="J130" s="1"/>
      </tp>
      <tp>
        <v>1857905</v>
        <stp/>
        <stp>VOLUME</stp>
        <stp>DF</stp>
        <tr r="J132" s="1"/>
      </tp>
      <tp>
        <v>2439401</v>
        <stp/>
        <stp>VOLUME</stp>
        <stp>DG</stp>
        <tr r="J134" s="1"/>
      </tp>
      <tp>
        <v>1452194</v>
        <stp/>
        <stp>VOLUME</stp>
        <stp>DO</stp>
        <tr r="J144" s="1"/>
      </tp>
      <tp>
        <v>762499</v>
        <stp/>
        <stp>VOLUME</stp>
        <stp>GD</stp>
        <tr r="J198" s="1"/>
      </tp>
      <tp>
        <v>60297422</v>
        <stp/>
        <stp>VOLUME</stp>
        <stp>GE</stp>
        <tr r="J199" s="1"/>
      </tp>
      <tp>
        <v>2819469</v>
        <stp/>
        <stp>VOLUME</stp>
        <stp>GS</stp>
        <tr r="J209" s="1"/>
      </tp>
      <tp>
        <v>4214758</v>
        <stp/>
        <stp>VOLUME</stp>
        <stp>GT</stp>
        <tr r="J210" s="1"/>
      </tp>
      <tp>
        <v>3509394</v>
        <stp/>
        <stp>VOLUME</stp>
        <stp>FE</stp>
        <tr r="J181" s="1"/>
      </tp>
      <tp>
        <v>3569044</v>
        <stp/>
        <stp>VOLUME</stp>
        <stp>AA</stp>
        <tr r="J5" s="1"/>
      </tp>
      <tp>
        <v>1056788</v>
        <stp/>
        <stp>VOLUME</stp>
        <stp>AN</stp>
        <tr r="J38" s="1"/>
      </tp>
      <tp>
        <v>1995167</v>
        <stp/>
        <stp>VOLUME</stp>
        <stp>CA</stp>
        <tr r="J79" s="1"/>
      </tp>
      <tp>
        <v>962843</v>
        <stp/>
        <stp>VOLUME</stp>
        <stp>CB</stp>
        <tr r="J84" s="1"/>
      </tp>
      <tp>
        <v>4302951</v>
        <stp/>
        <stp>VOLUME</stp>
        <stp>CF</stp>
        <tr r="J92" s="1"/>
      </tp>
      <tp>
        <v>960309</v>
        <stp/>
        <stp>VOLUME</stp>
        <stp>CI</stp>
        <tr r="J96" s="1"/>
      </tp>
      <tp>
        <v>4616543</v>
        <stp/>
        <stp>VOLUME</stp>
        <stp>CL</stp>
        <tr r="J98" s="1"/>
      </tp>
      <tp>
        <v>1714729</v>
        <stp/>
        <stp>VOLUME</stp>
        <stp>BA</stp>
        <tr r="J53" s="1"/>
      </tp>
      <tp>
        <v>4332683</v>
        <stp/>
        <stp>VOLUME</stp>
        <stp>BK</stp>
        <tr r="J66" s="1"/>
      </tp>
      <tp>
        <v>3158024</v>
        <stp/>
        <stp>VOLUME</stp>
        <stp>MA</stp>
        <tr r="J289" s="1"/>
      </tp>
      <tp>
        <v>6917546</v>
        <stp/>
        <stp>VOLUME</stp>
        <stp>MO</stp>
        <tr r="J307" s="1"/>
      </tp>
      <tp>
        <v>4983427</v>
        <stp/>
        <stp>VOLUME</stp>
        <stp>MS</stp>
        <tr r="J314" s="1"/>
      </tp>
      <tp>
        <v>22547637</v>
        <stp/>
        <stp>VOLUME</stp>
        <stp>MU</stp>
        <tr r="J318" s="1"/>
      </tp>
      <tp>
        <v>467432</v>
        <stp/>
        <stp>VOLUME</stp>
        <stp>LH</stp>
        <tr r="J272" s="1"/>
      </tp>
      <tp>
        <v>972328</v>
        <stp/>
        <stp>VOLUME</stp>
        <stp>LM</stp>
        <tr r="J277" s="1"/>
      </tp>
      <tp>
        <v>0</v>
        <stp/>
        <stp>VOLUME</stp>
        <stp>LO</stp>
        <tr r="J280" s="1"/>
      </tp>
      <tp>
        <v>1618795</v>
        <stp/>
        <stp>VOLUME</stp>
        <stp>OI</stp>
        <tr r="J344" s="1"/>
      </tp>
      <tp>
        <v>8259760</v>
        <stp/>
        <stp>VOLUME</stp>
        <stp>NE</stp>
        <tr r="J325" s="1"/>
      </tp>
      <tp>
        <v>6258805</v>
        <stp/>
        <stp>VOLUME</stp>
        <stp>NI</stp>
        <tr r="J330" s="1"/>
      </tp>
      <tp>
        <v>0</v>
        <stp/>
        <stp>VOLUME</stp>
        <stp>NU</stp>
        <tr r="J338" s="1"/>
      </tp>
      <tp>
        <v>1248578</v>
        <stp/>
        <stp>VOLUME</stp>
        <stp>IP</stp>
        <tr r="J241" s="1"/>
      </tp>
      <tp>
        <v>1328157</v>
        <stp/>
        <stp>VOLUME</stp>
        <stp>IR</stp>
        <tr r="J243" s="1"/>
      </tp>
      <tp>
        <v>4520817</v>
        <stp/>
        <stp>VOLUME</stp>
        <stp>HD</stp>
        <tr r="J219" s="1"/>
      </tp>
      <tp>
        <v>1783510</v>
        <stp/>
        <stp>VOLUME</stp>
        <stp>HP</stp>
        <tr r="J226" s="1"/>
      </tp>
      <tp>
        <v>19691440</v>
        <stp/>
        <stp>VOLUME</stp>
        <stp>KO</stp>
        <tr r="J265" s="1"/>
      </tp>
      <tp>
        <v>19584147</v>
        <stp/>
        <stp>VOLUME</stp>
        <stp>KR</stp>
        <tr r="J266" s="1"/>
      </tp>
      <tp>
        <v>0</v>
        <stp/>
        <stp>BID_SIZE</stp>
        <stp>SPLS</stp>
        <tr r="H419" s="1"/>
      </tp>
      <tp>
        <v>0</v>
        <stp/>
        <stp>BID_SIZE</stp>
        <stp>APOL</stp>
        <tr r="H45" s="1"/>
      </tp>
      <tp t="s">
        <v>Range Bound</v>
        <stp/>
        <stp>STRENGTH_METER</stp>
        <stp>PX</stp>
        <tr r="C384" s="1"/>
      </tp>
      <tp t="s">
        <v>Range Bound</v>
        <stp/>
        <stp>STRENGTH_METER</stp>
        <stp>PM</stp>
        <tr r="C371" s="1"/>
      </tp>
      <tp t="s">
        <v>Range Bound</v>
        <stp/>
        <stp>STRENGTH_METER</stp>
        <stp>PH</stp>
        <tr r="C366" s="1"/>
      </tp>
      <tp t="s">
        <v>Range Bound</v>
        <stp/>
        <stp>STRENGTH_METER</stp>
        <stp>PG</stp>
        <tr r="C364" s="1"/>
      </tp>
      <tp t="s">
        <v>Range Bound</v>
        <stp/>
        <stp>STRENGTH_METER</stp>
        <stp>SO</stp>
        <tr r="C417" s="1"/>
      </tp>
      <tp t="s">
        <v>Range Bound</v>
        <stp/>
        <stp>STRENGTH_METER</stp>
        <stp>SE</stp>
        <tr r="C407" s="1"/>
      </tp>
      <tp t="s">
        <v>Range Bound</v>
        <stp/>
        <stp>STRENGTH_METER</stp>
        <stp>RL</stp>
        <tr r="C395" s="1"/>
      </tp>
      <tp t="s">
        <v>Range Bound</v>
        <stp/>
        <stp>STRENGTH_METER</stp>
        <stp>RF</stp>
        <tr r="C392" s="1"/>
      </tp>
      <tp t="s">
        <v>N/A</v>
        <stp/>
        <stp>STRENGTH_METER</stp>
        <stp>TE</stp>
        <tr r="C436" s="1"/>
      </tp>
      <tp t="s">
        <v>Range Bound</v>
        <stp/>
        <stp>STRENGTH_METER</stp>
        <stp>WY</stp>
        <tr r="C489" s="1"/>
      </tp>
      <tp t="s">
        <v>Range Bound</v>
        <stp/>
        <stp>STRENGTH_METER</stp>
        <stp>WU</stp>
        <tr r="C488" s="1"/>
      </tp>
      <tp t="s">
        <v>Range Bound</v>
        <stp/>
        <stp>STRENGTH_METER</stp>
        <stp>WM</stp>
        <tr r="C483" s="1"/>
      </tp>
      <tp t="s">
        <v>Range Bound</v>
        <stp/>
        <stp>STRENGTH_METER</stp>
        <stp>VZ</stp>
        <tr r="C473" s="1"/>
      </tp>
      <tp t="s">
        <v>Range Bound</v>
        <stp/>
        <stp>STRENGTH_METER</stp>
        <stp>XL</stp>
        <tr r="C494" s="1"/>
      </tp>
      <tp t="s">
        <v>Uptrend</v>
        <stp/>
        <stp>STRENGTH_METER</stp>
        <stp>AN</stp>
        <tr r="C38" s="1"/>
      </tp>
      <tp t="s">
        <v>Downtrend</v>
        <stp/>
        <stp>STRENGTH_METER</stp>
        <stp>AA</stp>
        <tr r="C5" s="1"/>
      </tp>
      <tp t="s">
        <v>Range Bound</v>
        <stp/>
        <stp>STRENGTH_METER</stp>
        <stp>CL</stp>
        <tr r="C98" s="1"/>
      </tp>
      <tp t="s">
        <v>Range Bound</v>
        <stp/>
        <stp>STRENGTH_METER</stp>
        <stp>CI</stp>
        <tr r="C96" s="1"/>
      </tp>
      <tp t="s">
        <v>Range Bound</v>
        <stp/>
        <stp>STRENGTH_METER</stp>
        <stp>CF</stp>
        <tr r="C92" s="1"/>
      </tp>
      <tp t="s">
        <v>Range Bound</v>
        <stp/>
        <stp>STRENGTH_METER</stp>
        <stp>CA</stp>
        <tr r="C79" s="1"/>
      </tp>
      <tp t="s">
        <v>Range Bound</v>
        <stp/>
        <stp>STRENGTH_METER</stp>
        <stp>CB</stp>
        <tr r="C84" s="1"/>
      </tp>
      <tp t="s">
        <v>Range Bound</v>
        <stp/>
        <stp>STRENGTH_METER</stp>
        <stp>BK</stp>
        <tr r="C66" s="1"/>
      </tp>
      <tp t="s">
        <v>Range Bound</v>
        <stp/>
        <stp>STRENGTH_METER</stp>
        <stp>BA</stp>
        <tr r="C53" s="1"/>
      </tp>
      <tp t="s">
        <v>Range Bound</v>
        <stp/>
        <stp>STRENGTH_METER</stp>
        <stp>EW</stp>
        <tr r="C172" s="1"/>
      </tp>
      <tp t="s">
        <v>Uptrend</v>
        <stp/>
        <stp>STRENGTH_METER</stp>
        <stp>EL</stp>
        <tr r="C160" s="1"/>
      </tp>
      <tp t="s">
        <v>Range Bound</v>
        <stp/>
        <stp>STRENGTH_METER</stp>
        <stp>ED</stp>
        <tr r="C157" s="1"/>
      </tp>
      <tp t="s">
        <v>Range Bound</v>
        <stp/>
        <stp>STRENGTH_METER</stp>
        <stp>EA</stp>
        <tr r="C154" s="1"/>
      </tp>
      <tp t="s">
        <v>Range Bound</v>
        <stp/>
        <stp>STRENGTH_METER</stp>
        <stp>DO</stp>
        <tr r="C144" s="1"/>
      </tp>
      <tp t="s">
        <v>Range Bound</v>
        <stp/>
        <stp>STRENGTH_METER</stp>
        <stp>DD</stp>
        <tr r="C129" s="1"/>
      </tp>
      <tp t="s">
        <v>Range Bound</v>
        <stp/>
        <stp>STRENGTH_METER</stp>
        <stp>DE</stp>
        <tr r="C130" s="1"/>
      </tp>
      <tp t="s">
        <v>Range Bound</v>
        <stp/>
        <stp>STRENGTH_METER</stp>
        <stp>DF</stp>
        <tr r="C132" s="1"/>
      </tp>
      <tp t="s">
        <v>Range Bound</v>
        <stp/>
        <stp>STRENGTH_METER</stp>
        <stp>DG</stp>
        <tr r="C134" s="1"/>
      </tp>
      <tp t="s">
        <v>Downtrend</v>
        <stp/>
        <stp>STRENGTH_METER</stp>
        <stp>GT</stp>
        <tr r="C210" s="1"/>
      </tp>
      <tp t="s">
        <v>Range Bound</v>
        <stp/>
        <stp>STRENGTH_METER</stp>
        <stp>GS</stp>
        <tr r="C209" s="1"/>
      </tp>
      <tp t="s">
        <v>Range Bound</v>
        <stp/>
        <stp>STRENGTH_METER</stp>
        <stp>GD</stp>
        <tr r="C198" s="1"/>
      </tp>
      <tp t="s">
        <v>Downtrend</v>
        <stp/>
        <stp>STRENGTH_METER</stp>
        <stp>GE</stp>
        <tr r="C199" s="1"/>
      </tp>
      <tp t="s">
        <v>Range Bound</v>
        <stp/>
        <stp>STRENGTH_METER</stp>
        <stp>FE</stp>
        <tr r="C181" s="1"/>
      </tp>
      <tp t="s">
        <v>Range Bound</v>
        <stp/>
        <stp>STRENGTH_METER</stp>
        <stp>IP</stp>
        <tr r="C241" s="1"/>
      </tp>
      <tp t="s">
        <v>Range Bound</v>
        <stp/>
        <stp>STRENGTH_METER</stp>
        <stp>IR</stp>
        <tr r="C243" s="1"/>
      </tp>
      <tp t="s">
        <v>Range Bound</v>
        <stp/>
        <stp>STRENGTH_METER</stp>
        <stp>HP</stp>
        <tr r="C226" s="1"/>
      </tp>
      <tp t="s">
        <v>Range Bound</v>
        <stp/>
        <stp>STRENGTH_METER</stp>
        <stp>HD</stp>
        <tr r="C219" s="1"/>
      </tp>
      <tp t="s">
        <v>Uptrend</v>
        <stp/>
        <stp>STRENGTH_METER</stp>
        <stp>KR</stp>
        <tr r="C266" s="1"/>
      </tp>
      <tp t="s">
        <v>Range Bound</v>
        <stp/>
        <stp>STRENGTH_METER</stp>
        <stp>KO</stp>
        <tr r="C265" s="1"/>
      </tp>
      <tp t="s">
        <v>Uptrend</v>
        <stp/>
        <stp>STRENGTH_METER</stp>
        <stp>MU</stp>
        <tr r="C318" s="1"/>
      </tp>
      <tp t="s">
        <v>Range Bound</v>
        <stp/>
        <stp>STRENGTH_METER</stp>
        <stp>MS</stp>
        <tr r="C314" s="1"/>
      </tp>
      <tp t="s">
        <v>Range Bound</v>
        <stp/>
        <stp>STRENGTH_METER</stp>
        <stp>MO</stp>
        <tr r="C307" s="1"/>
      </tp>
      <tp t="s">
        <v>Range Bound</v>
        <stp/>
        <stp>STRENGTH_METER</stp>
        <stp>MA</stp>
        <tr r="C289" s="1"/>
      </tp>
      <tp t="s">
        <v>Range Bound</v>
        <stp/>
        <stp>STRENGTH_METER</stp>
        <stp>LM</stp>
        <tr r="C277" s="1"/>
      </tp>
      <tp t="s">
        <v>N/A</v>
        <stp/>
        <stp>STRENGTH_METER</stp>
        <stp>LO</stp>
        <tr r="C280" s="1"/>
      </tp>
      <tp t="s">
        <v>Range Bound</v>
        <stp/>
        <stp>STRENGTH_METER</stp>
        <stp>LH</stp>
        <tr r="C272" s="1"/>
      </tp>
      <tp t="s">
        <v>Range Bound</v>
        <stp/>
        <stp>STRENGTH_METER</stp>
        <stp>OI</stp>
        <tr r="C344" s="1"/>
      </tp>
      <tp t="s">
        <v>N/A</v>
        <stp/>
        <stp>STRENGTH_METER</stp>
        <stp>NU</stp>
        <tr r="C338" s="1"/>
      </tp>
      <tp t="s">
        <v>Range Bound</v>
        <stp/>
        <stp>STRENGTH_METER</stp>
        <stp>NI</stp>
        <tr r="C330" s="1"/>
      </tp>
      <tp t="s">
        <v>Range Bound</v>
        <stp/>
        <stp>STRENGTH_METER</stp>
        <stp>NE</stp>
        <tr r="C325" s="1"/>
      </tp>
      <tp>
        <v>0</v>
        <stp/>
        <stp>ASK_SIZE</stp>
        <stp>SPLS</stp>
        <tr r="I419" s="1"/>
      </tp>
      <tp>
        <v>0</v>
        <stp/>
        <stp>ASK_SIZE</stp>
        <stp>APOL</stp>
        <tr r="I45" s="1"/>
      </tp>
      <tp>
        <v>109.82</v>
        <stp/>
        <stp>Mark</stp>
        <stp>V</stp>
        <tr r="P464" s="1"/>
      </tp>
      <tp>
        <v>34.549999999999997</v>
        <stp/>
        <stp>Mark</stp>
        <stp>T</stp>
        <tr r="P433" s="1"/>
      </tp>
      <tp>
        <v>76.349999999999994</v>
        <stp/>
        <stp>Mark</stp>
        <stp>R</stp>
        <tr r="P388" s="1"/>
      </tp>
      <tp>
        <v>6.21</v>
        <stp/>
        <stp>Mark</stp>
        <stp>S</stp>
        <tr r="P402" s="1"/>
      </tp>
      <tp>
        <v>27.28</v>
        <stp/>
        <stp>Mark</stp>
        <stp>X</stp>
        <tr r="P492" s="1"/>
      </tp>
      <tp>
        <v>12.01</v>
        <stp/>
        <stp>Mark</stp>
        <stp>F</stp>
        <tr r="P176" s="1"/>
      </tp>
      <tp>
        <v>81.319999999999993</v>
        <stp/>
        <stp>Mark</stp>
        <stp>D</stp>
        <tr r="P128" s="1"/>
      </tp>
      <tp>
        <v>71.39</v>
        <stp/>
        <stp>Mark</stp>
        <stp>C</stp>
        <tr r="P78" s="1"/>
      </tp>
      <tp>
        <v>68.790000000000006</v>
        <stp/>
        <stp>Mark</stp>
        <stp>A</stp>
        <tr r="P4" s="1"/>
      </tp>
      <tp>
        <v>49.22</v>
        <stp/>
        <stp>Mark</stp>
        <stp>L</stp>
        <tr r="P269" s="1"/>
      </tp>
      <tp>
        <v>20.350000000000001</v>
        <stp/>
        <stp>Mark</stp>
        <stp>M</stp>
        <tr r="P288" s="1"/>
      </tp>
      <tp>
        <v>65.36</v>
        <stp/>
        <stp>Mark</stp>
        <stp>K</stp>
        <tr r="P258" s="1"/>
      </tp>
      <tp>
        <v>1</v>
        <stp/>
        <stp>ASK_SIZE</stp>
        <stp>VRSN</stp>
        <tr r="I471" s="1"/>
      </tp>
      <tp>
        <v>0</v>
        <stp/>
        <stp>ASK_SIZE</stp>
        <stp>KRFT</stp>
        <tr r="I267" s="1"/>
      </tp>
      <tp>
        <v>1</v>
        <stp/>
        <stp>ASK_SIZE</stp>
        <stp>PRGO</stp>
        <tr r="I378" s="1"/>
      </tp>
      <tp>
        <v>3</v>
        <stp/>
        <stp>ASK_SIZE</stp>
        <stp>XRAY</stp>
        <tr r="I497" s="1"/>
      </tp>
      <tp>
        <v>4</v>
        <stp/>
        <stp>ASK_SIZE</stp>
        <stp>URBN</stp>
        <tr r="I461" s="1"/>
      </tp>
      <tp>
        <v>0</v>
        <stp/>
        <stp>ASK_SIZE</stp>
        <stp>BRCM</stp>
        <tr r="I72" s="1"/>
      </tp>
      <tp>
        <v>1</v>
        <stp/>
        <stp>ASK_SIZE</stp>
        <stp>ORCL</stp>
        <tr r="I347" s="1"/>
      </tp>
      <tp>
        <v>4</v>
        <stp/>
        <stp>ASK_SIZE</stp>
        <stp>SRCL</stp>
        <tr r="I420" s="1"/>
      </tp>
      <tp>
        <v>1</v>
        <stp/>
        <stp>ASK_SIZE</stp>
        <stp>LRCX</stp>
        <tr r="I282" s="1"/>
      </tp>
      <tp>
        <v>1</v>
        <stp/>
        <stp>ASK_SIZE</stp>
        <stp>ORLY</stp>
        <tr r="I348" s="1"/>
      </tp>
      <tp>
        <v>1</v>
        <stp/>
        <stp>ASK_SIZE</stp>
        <stp>GRMN</stp>
        <tr r="I208" s="1"/>
      </tp>
      <tp>
        <v>2</v>
        <stp/>
        <stp>ASK_SIZE</stp>
        <stp>TROW</stp>
        <tr r="I447" s="1"/>
      </tp>
      <tp>
        <v>1</v>
        <stp/>
        <stp>ASK_SIZE</stp>
        <stp>TRIP</stp>
        <tr r="I446" s="1"/>
      </tp>
      <tp>
        <v>5</v>
        <stp/>
        <stp>ASK_SIZE</stp>
        <stp>ISRG</stp>
        <tr r="I245" s="1"/>
      </tp>
      <tp>
        <v>3</v>
        <stp/>
        <stp>ASK_SIZE</stp>
        <stp>ESRX</stp>
        <tr r="I167" s="1"/>
      </tp>
      <tp>
        <v>1</v>
        <stp/>
        <stp>ASK_SIZE</stp>
        <stp>MSFT</stp>
        <tr r="I315" s="1"/>
      </tp>
      <tp>
        <v>28</v>
        <stp/>
        <stp>ASK_SIZE</stp>
        <stp>CSCO</stp>
        <tr r="I119" s="1"/>
      </tp>
      <tp>
        <v>3</v>
        <stp/>
        <stp>ASK_SIZE</stp>
        <stp>FSLR</stp>
        <tr r="I193" s="1"/>
      </tp>
      <tp>
        <v>2</v>
        <stp/>
        <stp>ASK_SIZE</stp>
        <stp>NTRS</stp>
        <tr r="I337" s="1"/>
      </tp>
      <tp>
        <v>3</v>
        <stp/>
        <stp>ASK_SIZE</stp>
        <stp>CTSH</stp>
        <tr r="I123" s="1"/>
      </tp>
      <tp>
        <v>3</v>
        <stp/>
        <stp>ASK_SIZE</stp>
        <stp>CTXS</stp>
        <tr r="I124" s="1"/>
      </tp>
      <tp>
        <v>3</v>
        <stp/>
        <stp>ASK_SIZE</stp>
        <stp>ETFC</stp>
        <tr r="I169" s="1"/>
      </tp>
      <tp>
        <v>2</v>
        <stp/>
        <stp>ASK_SIZE</stp>
        <stp>NTAP</stp>
        <tr r="I336" s="1"/>
      </tp>
      <tp>
        <v>3</v>
        <stp/>
        <stp>ASK_SIZE</stp>
        <stp>CTAS</stp>
        <tr r="I121" s="1"/>
      </tp>
      <tp>
        <v>27.18</v>
        <stp/>
        <stp>BID</stp>
        <stp>X</stp>
        <tr r="F492" s="1"/>
      </tp>
      <tp>
        <v>6.2</v>
        <stp/>
        <stp>BID</stp>
        <stp>S</stp>
        <tr r="F402" s="1"/>
      </tp>
      <tp>
        <v>72.349999999999994</v>
        <stp/>
        <stp>BID</stp>
        <stp>R</stp>
        <tr r="F388" s="1"/>
      </tp>
      <tp>
        <v>34.549999999999997</v>
        <stp/>
        <stp>BID</stp>
        <stp>T</stp>
        <tr r="F433" s="1"/>
      </tp>
      <tp>
        <v>109.78</v>
        <stp/>
        <stp>BID</stp>
        <stp>V</stp>
        <tr r="F464" s="1"/>
      </tp>
      <tp>
        <v>64.17</v>
        <stp/>
        <stp>BID</stp>
        <stp>K</stp>
        <tr r="F258" s="1"/>
      </tp>
      <tp>
        <v>20.3</v>
        <stp/>
        <stp>BID</stp>
        <stp>M</stp>
        <tr r="F288" s="1"/>
      </tp>
      <tp>
        <v>38.4</v>
        <stp/>
        <stp>BID</stp>
        <stp>L</stp>
        <tr r="F269" s="1"/>
      </tp>
      <tp>
        <v>68.790000000000006</v>
        <stp/>
        <stp>BID</stp>
        <stp>A</stp>
        <tr r="F4" s="1"/>
      </tp>
      <tp>
        <v>71.39</v>
        <stp/>
        <stp>BID</stp>
        <stp>C</stp>
        <tr r="F78" s="1"/>
      </tp>
      <tp>
        <v>77.040000000000006</v>
        <stp/>
        <stp>BID</stp>
        <stp>D</stp>
        <tr r="F128" s="1"/>
      </tp>
      <tp>
        <v>12</v>
        <stp/>
        <stp>BID</stp>
        <stp>F</stp>
        <tr r="F176" s="1"/>
      </tp>
      <tp>
        <v>76.69</v>
        <stp/>
        <stp>52HIGH</stp>
        <stp>K</stp>
        <tr r="N258" s="1"/>
      </tp>
      <tp>
        <v>45.41</v>
        <stp/>
        <stp>52HIGH</stp>
        <stp>M</stp>
        <tr r="N288" s="1"/>
      </tp>
      <tp>
        <v>49.99</v>
        <stp/>
        <stp>52HIGH</stp>
        <stp>L</stp>
        <tr r="N269" s="1"/>
      </tp>
      <tp>
        <v>68.95</v>
        <stp/>
        <stp>52HIGH</stp>
        <stp>A</stp>
        <tr r="N4" s="1"/>
      </tp>
      <tp>
        <v>76.14</v>
        <stp/>
        <stp>52HIGH</stp>
        <stp>C</stp>
        <tr r="N78" s="1"/>
      </tp>
      <tp>
        <v>83.64</v>
        <stp/>
        <stp>52HIGH</stp>
        <stp>D</stp>
        <tr r="N128" s="1"/>
      </tp>
      <tp>
        <v>13.27</v>
        <stp/>
        <stp>52HIGH</stp>
        <stp>F</stp>
        <tr r="N176" s="1"/>
      </tp>
      <tp>
        <v>41.83</v>
        <stp/>
        <stp>52HIGH</stp>
        <stp>X</stp>
        <tr r="N492" s="1"/>
      </tp>
      <tp>
        <v>9.65</v>
        <stp/>
        <stp>52HIGH</stp>
        <stp>S</stp>
        <tr r="N402" s="1"/>
      </tp>
      <tp>
        <v>85.5</v>
        <stp/>
        <stp>52HIGH</stp>
        <stp>R</stp>
        <tr r="N388" s="1"/>
      </tp>
      <tp>
        <v>43.03</v>
        <stp/>
        <stp>52HIGH</stp>
        <stp>T</stp>
        <tr r="N433" s="1"/>
      </tp>
      <tp>
        <v>112.905</v>
        <stp/>
        <stp>52HIGH</stp>
        <stp>V</stp>
        <tr r="N464" s="1"/>
      </tp>
      <tp>
        <v>2</v>
        <stp/>
        <stp>ASK_SIZE</stp>
        <stp>NVDA</stp>
        <tr r="I340" s="1"/>
      </tp>
      <tp>
        <v>4</v>
        <stp/>
        <stp>BID_SIZE</stp>
        <stp>SYMC</stp>
        <tr r="H431" s="1"/>
      </tp>
      <tp>
        <v>1</v>
        <stp/>
        <stp>BID_SIZE</stp>
        <stp>WYNN</stp>
        <tr r="H491" s="1"/>
      </tp>
      <tp>
        <v>1</v>
        <stp/>
        <stp>BID_SIZE</stp>
        <stp>EXPD</stp>
        <tr r="H174" s="1"/>
      </tp>
      <tp>
        <v>2</v>
        <stp/>
        <stp>BID_SIZE</stp>
        <stp>EXPE</stp>
        <tr r="H175" s="1"/>
      </tp>
      <tp>
        <v>10</v>
        <stp/>
        <stp>ASK_SIZE</stp>
        <stp>NWSA</stp>
        <tr r="I342" s="1"/>
      </tp>
      <tp>
        <v>1</v>
        <stp/>
        <stp>ASK_SIZE</stp>
        <stp>CHRW</stp>
        <tr r="I95" s="1"/>
      </tp>
      <tp>
        <v>0</v>
        <stp/>
        <stp>ASK_SIZE</stp>
        <stp>YHOO</stp>
        <tr r="I500" s="1"/>
      </tp>
      <tp>
        <v>0</v>
        <stp/>
        <stp>BID_SIZE</stp>
        <stp>BF-B</stp>
        <tr r="H63" s="1"/>
      </tp>
      <tp>
        <v>8</v>
        <stp/>
        <stp>ASK_SIZE</stp>
        <stp>FITB</stp>
        <tr r="I186" s="1"/>
      </tp>
      <tp>
        <v>1</v>
        <stp/>
        <stp>ASK_SIZE</stp>
        <stp>FISV</stp>
        <tr r="I185" s="1"/>
      </tp>
      <tp>
        <v>25</v>
        <stp/>
        <stp>ASK_SIZE</stp>
        <stp>LIFE</stp>
        <tr r="I273" s="1"/>
      </tp>
      <tp>
        <v>0</v>
        <stp/>
        <stp>ASK_SIZE</stp>
        <stp>SIAL</stp>
        <tr r="I410" s="1"/>
      </tp>
      <tp>
        <v>1</v>
        <stp/>
        <stp>ASK_SIZE</stp>
        <stp>VIAB</stp>
        <tr r="I467" s="1"/>
      </tp>
      <tp>
        <v>11</v>
        <stp/>
        <stp>ASK_SIZE</stp>
        <stp>GILD</stp>
        <tr r="I200" s="1"/>
      </tp>
      <tp>
        <v>1</v>
        <stp/>
        <stp>BID_SIZE</stp>
        <stp>NFLX</stp>
        <tr r="H328" s="1"/>
      </tp>
      <tp>
        <v>7</v>
        <stp/>
        <stp>ASK_SIZE</stp>
        <stp>CINF</stp>
        <tr r="I97" s="1"/>
      </tp>
      <tp>
        <v>2</v>
        <stp/>
        <stp>ASK_SIZE</stp>
        <stp>ZION</stp>
        <tr r="I502" s="1"/>
      </tp>
      <tp>
        <v>3</v>
        <stp/>
        <stp>ASK_SIZE</stp>
        <stp>BIIB</stp>
        <tr r="I65" s="1"/>
      </tp>
      <tp>
        <v>1</v>
        <stp/>
        <stp>BID_SIZE</stp>
        <stp>FFIV</stp>
        <tr r="H182" s="1"/>
      </tp>
      <tp>
        <v>0</v>
        <stp/>
        <stp>BID_SIZE</stp>
        <stp>PETM</stp>
        <tr r="H361" s="1"/>
      </tp>
      <tp>
        <v>2</v>
        <stp/>
        <stp>BID_SIZE</stp>
        <stp>CERN</stp>
        <tr r="H91" s="1"/>
      </tp>
      <tp>
        <v>1</v>
        <stp/>
        <stp>BID_SIZE</stp>
        <stp>REGN</stp>
        <tr r="H391" s="1"/>
      </tp>
      <tp>
        <v>0</v>
        <stp/>
        <stp>BID_SIZE</stp>
        <stp>BEAM</stp>
        <tr r="H61" s="1"/>
      </tp>
      <tp>
        <v>0</v>
        <stp/>
        <stp>BID_SIZE</stp>
        <stp>DELL</stp>
        <tr r="H131" s="1"/>
      </tp>
      <tp>
        <v>1</v>
        <stp/>
        <stp>BID_SIZE</stp>
        <stp>CELG</stp>
        <tr r="H90" s="1"/>
      </tp>
      <tp>
        <v>1</v>
        <stp/>
        <stp>BID_SIZE</stp>
        <stp>ADSK</stp>
        <tr r="H17" s="1"/>
      </tp>
      <tp>
        <v>0</v>
        <stp/>
        <stp>BID_SIZE</stp>
        <stp>JDSU</stp>
        <tr r="H251" s="1"/>
      </tp>
      <tp>
        <v>3</v>
        <stp/>
        <stp>ASK_SIZE</stp>
        <stp>AKAM</stp>
        <tr r="I28" s="1"/>
      </tp>
      <tp>
        <v>3</v>
        <stp/>
        <stp>BID_SIZE</stp>
        <stp>NDAQ</stp>
        <tr r="H324" s="1"/>
      </tp>
      <tp>
        <v>8</v>
        <stp/>
        <stp>BID_SIZE</stp>
        <stp>ADBE</stp>
        <tr r="H13" s="1"/>
      </tp>
      <tp>
        <v>1</v>
        <stp/>
        <stp>BID_SIZE</stp>
        <stp>PDCO</stp>
        <tr r="H358" s="1"/>
      </tp>
      <tp>
        <v>1</v>
        <stp/>
        <stp>BID_SIZE</stp>
        <stp>MDLZ</stp>
        <tr r="H298" s="1"/>
      </tp>
      <tp>
        <v>0</v>
        <stp/>
        <stp>ASK_SIZE</stp>
        <stp>LLTC</stp>
        <tr r="I275" s="1"/>
      </tp>
      <tp>
        <v>2</v>
        <stp/>
        <stp>ASK_SIZE</stp>
        <stp>DLTR</stp>
        <tr r="I141" s="1"/>
      </tp>
      <tp>
        <v>1</v>
        <stp/>
        <stp>ASK_SIZE</stp>
        <stp>ALTR</stp>
        <tr r="I30" s="1"/>
      </tp>
      <tp>
        <v>1</v>
        <stp/>
        <stp>ASK_SIZE</stp>
        <stp>DLPH</stp>
        <tr r="I140" s="1"/>
      </tp>
      <tp>
        <v>2</v>
        <stp/>
        <stp>ASK_SIZE</stp>
        <stp>ALXN</stp>
        <tr r="I31" s="1"/>
      </tp>
      <tp>
        <v>1</v>
        <stp/>
        <stp>ASK_SIZE</stp>
        <stp>KLAC</stp>
        <tr r="I261" s="1"/>
      </tp>
      <tp>
        <v>2</v>
        <stp/>
        <stp>BID_SIZE</stp>
        <stp>PCAR</stp>
        <tr r="H353" s="1"/>
      </tp>
      <tp>
        <v>0</v>
        <stp/>
        <stp>BID_SIZE</stp>
        <stp>HCBK</stp>
        <tr r="H216" s="1"/>
      </tp>
      <tp>
        <v>1</v>
        <stp/>
        <stp>BID_SIZE</stp>
        <stp>PCLN</stp>
        <tr r="H356" s="1"/>
      </tp>
      <tp>
        <v>1</v>
        <stp/>
        <stp>ASK_SIZE</stp>
        <stp>XLNX</stp>
        <tr r="I495" s="1"/>
      </tp>
      <tp>
        <v>3</v>
        <stp/>
        <stp>BID_SIZE</stp>
        <stp>QCOM</stp>
        <tr r="H386" s="1"/>
      </tp>
      <tp>
        <v>1</v>
        <stp/>
        <stp>BID_SIZE</stp>
        <stp>SCHW</stp>
        <tr r="H406" s="1"/>
      </tp>
      <tp>
        <v>2</v>
        <stp/>
        <stp>BID_SIZE</stp>
        <stp>MCHP</stp>
        <tr r="H295" s="1"/>
      </tp>
      <tp>
        <v>10</v>
        <stp/>
        <stp>ASK_SIZE</stp>
        <stp>FLIR</stp>
        <tr r="I187" s="1"/>
      </tp>
      <tp>
        <v>10</v>
        <stp/>
        <stp>BID_SIZE</stp>
        <stp>SBUX</stp>
        <tr r="H404" s="1"/>
      </tp>
      <tp>
        <v>1</v>
        <stp/>
        <stp>ASK_SIZE</stp>
        <stp>AMZN</stp>
        <tr r="I37" s="1"/>
      </tp>
      <tp>
        <v>5</v>
        <stp/>
        <stp>ASK_SIZE</stp>
        <stp>AMGN</stp>
        <tr r="I34" s="1"/>
      </tp>
      <tp>
        <v>10</v>
        <stp/>
        <stp>BID_SIZE</stp>
        <stp>HBAN</stp>
        <tr r="H215" s="1"/>
      </tp>
      <tp>
        <v>2</v>
        <stp/>
        <stp>BID_SIZE</stp>
        <stp>EBAY</stp>
        <tr r="H155" s="1"/>
      </tp>
      <tp>
        <v>51</v>
        <stp/>
        <stp>ASK_SIZE</stp>
        <stp>AMAT</stp>
        <tr r="I32" s="1"/>
      </tp>
      <tp>
        <v>3</v>
        <stp/>
        <stp>BID_SIZE</stp>
        <stp>BBBY</stp>
        <tr r="H56" s="1"/>
      </tp>
      <tp>
        <v>5</v>
        <stp/>
        <stp>BID_SIZE</stp>
        <stp>ABBV</stp>
        <tr r="H7" s="1"/>
      </tp>
      <tp>
        <v>11</v>
        <stp/>
        <stp>BID_SIZE</stp>
        <stp>PBCT</stp>
        <tr r="H351" s="1"/>
      </tp>
      <tp t="s">
        <v>instrument=K</v>
        <stp/>
        <stp>QUOTE_TREND</stp>
        <stp>K</stp>
        <tr r="D258" s="1"/>
      </tp>
      <tp t="s">
        <v>instrument=L</v>
        <stp/>
        <stp>QUOTE_TREND</stp>
        <stp>L</stp>
        <tr r="D269" s="1"/>
      </tp>
      <tp t="s">
        <v>instrument=M</v>
        <stp/>
        <stp>QUOTE_TREND</stp>
        <stp>M</stp>
        <tr r="D288" s="1"/>
      </tp>
      <tp t="s">
        <v>instrument=C</v>
        <stp/>
        <stp>QUOTE_TREND</stp>
        <stp>C</stp>
        <tr r="D78" s="1"/>
      </tp>
      <tp t="s">
        <v>instrument=A</v>
        <stp/>
        <stp>QUOTE_TREND</stp>
        <stp>A</stp>
        <tr r="D4" s="1"/>
      </tp>
      <tp t="s">
        <v>instrument=F</v>
        <stp/>
        <stp>QUOTE_TREND</stp>
        <stp>F</stp>
        <tr r="D176" s="1"/>
      </tp>
      <tp t="s">
        <v>instrument=D</v>
        <stp/>
        <stp>QUOTE_TREND</stp>
        <stp>D</stp>
        <tr r="D128" s="1"/>
      </tp>
      <tp t="s">
        <v>instrument=X</v>
        <stp/>
        <stp>QUOTE_TREND</stp>
        <stp>X</stp>
        <tr r="D492" s="1"/>
      </tp>
      <tp t="s">
        <v>instrument=R</v>
        <stp/>
        <stp>QUOTE_TREND</stp>
        <stp>R</stp>
        <tr r="D388" s="1"/>
      </tp>
      <tp t="s">
        <v>instrument=S</v>
        <stp/>
        <stp>QUOTE_TREND</stp>
        <stp>S</stp>
        <tr r="D402" s="1"/>
      </tp>
      <tp t="s">
        <v>instrument=V</v>
        <stp/>
        <stp>QUOTE_TREND</stp>
        <stp>V</stp>
        <tr r="D464" s="1"/>
      </tp>
      <tp t="s">
        <v>instrument=T</v>
        <stp/>
        <stp>QUOTE_TREND</stp>
        <stp>T</stp>
        <tr r="D433" s="1"/>
      </tp>
      <tp>
        <v>10</v>
        <stp/>
        <stp>ASK_SIZE</stp>
        <stp>INTC</stp>
        <tr r="I239" s="1"/>
      </tp>
      <tp>
        <v>3</v>
        <stp/>
        <stp>ASK_SIZE</stp>
        <stp>INTU</stp>
        <tr r="I240" s="1"/>
      </tp>
      <tp>
        <v>8</v>
        <stp/>
        <stp>BID_SIZE</stp>
        <stp>AAPL</stp>
        <tr r="H6" s="1"/>
      </tp>
      <tp>
        <v>2</v>
        <stp/>
        <stp>ASK_SIZE</stp>
        <stp>JNPR</stp>
        <tr r="I254" s="1"/>
      </tp>
      <tp>
        <v>4</v>
        <stp/>
        <stp>ASK_SIZE</stp>
        <stp>MNST</stp>
        <tr r="I306" s="1"/>
      </tp>
      <tp>
        <v>10</v>
        <stp/>
        <stp>BID_SIZE</stp>
        <stp>FAST</stp>
        <tr r="H177" s="1"/>
      </tp>
      <tp>
        <v>1</v>
        <stp/>
        <stp>BID_SIZE</stp>
        <stp>PAYX</stp>
        <tr r="H350" s="1"/>
      </tp>
      <tp>
        <v>0</v>
        <stp/>
        <stp>ASK_SIZE</stp>
        <stp>SNDK</stp>
        <tr r="I415" s="1"/>
      </tp>
      <tp>
        <v>109.82</v>
        <stp/>
        <stp>Last</stp>
        <stp>V</stp>
        <tr r="B464" s="1"/>
      </tp>
      <tp>
        <v>34.51</v>
        <stp/>
        <stp>Last</stp>
        <stp>T</stp>
        <tr r="B433" s="1"/>
      </tp>
      <tp>
        <v>76.349999999999994</v>
        <stp/>
        <stp>Last</stp>
        <stp>R</stp>
        <tr r="B388" s="1"/>
      </tp>
      <tp>
        <v>6.23</v>
        <stp/>
        <stp>Last</stp>
        <stp>S</stp>
        <tr r="B402" s="1"/>
      </tp>
      <tp>
        <v>27.28</v>
        <stp/>
        <stp>Last</stp>
        <stp>X</stp>
        <tr r="B492" s="1"/>
      </tp>
      <tp>
        <v>12.01</v>
        <stp/>
        <stp>Last</stp>
        <stp>F</stp>
        <tr r="B176" s="1"/>
      </tp>
      <tp>
        <v>81.319999999999993</v>
        <stp/>
        <stp>Last</stp>
        <stp>D</stp>
        <tr r="B128" s="1"/>
      </tp>
      <tp>
        <v>71.33</v>
        <stp/>
        <stp>Last</stp>
        <stp>C</stp>
        <tr r="B78" s="1"/>
      </tp>
      <tp>
        <v>68.790000000000006</v>
        <stp/>
        <stp>Last</stp>
        <stp>A</stp>
        <tr r="B4" s="1"/>
      </tp>
      <tp>
        <v>49.22</v>
        <stp/>
        <stp>Last</stp>
        <stp>L</stp>
        <tr r="B269" s="1"/>
      </tp>
      <tp>
        <v>20.350000000000001</v>
        <stp/>
        <stp>Last</stp>
        <stp>M</stp>
        <tr r="B288" s="1"/>
      </tp>
      <tp>
        <v>65.36</v>
        <stp/>
        <stp>Last</stp>
        <stp>K</stp>
        <tr r="B258" s="1"/>
      </tp>
      <tp>
        <v>1</v>
        <stp/>
        <stp>ASK_SIZE</stp>
        <stp>FOSL</stp>
        <tr r="I191" s="1"/>
      </tp>
      <tp>
        <v>24</v>
        <stp/>
        <stp>ASK_SIZE</stp>
        <stp>COST</stp>
        <tr r="I114" s="1"/>
      </tp>
      <tp>
        <v>5</v>
        <stp/>
        <stp>ASK_SIZE</stp>
        <stp>ROST</stp>
        <tr r="I398" s="1"/>
      </tp>
      <tp>
        <v>0</v>
        <stp/>
        <stp>ASK_SIZE</stp>
        <stp>MOLX</stp>
        <tr r="I308" s="1"/>
      </tp>
      <tp>
        <v>30</v>
        <stp/>
        <stp>ASK_SIZE</stp>
        <stp>GOOG</stp>
        <tr r="I205" s="1"/>
      </tp>
      <tp>
        <v>10</v>
        <stp/>
        <stp>BID_SIZE</stp>
        <stp>FOSL</stp>
        <tr r="H191" s="1"/>
      </tp>
      <tp>
        <v>5</v>
        <stp/>
        <stp>BID_SIZE</stp>
        <stp>ROST</stp>
        <tr r="H398" s="1"/>
      </tp>
      <tp>
        <v>1</v>
        <stp/>
        <stp>BID_SIZE</stp>
        <stp>COST</stp>
        <tr r="H114" s="1"/>
      </tp>
      <tp>
        <v>0</v>
        <stp/>
        <stp>BID_SIZE</stp>
        <stp>MOLX</stp>
        <tr r="H308" s="1"/>
      </tp>
      <tp>
        <v>29</v>
        <stp/>
        <stp>BID_SIZE</stp>
        <stp>GOOG</stp>
        <tr r="H205" s="1"/>
      </tp>
      <tp>
        <v>70.540000000000006</v>
        <stp/>
        <stp>52LOW</stp>
        <stp>D</stp>
        <tr r="O128" s="1"/>
      </tp>
      <tp>
        <v>10.47</v>
        <stp/>
        <stp>52LOW</stp>
        <stp>F</stp>
        <tr r="O176" s="1"/>
      </tp>
      <tp>
        <v>42.92</v>
        <stp/>
        <stp>52LOW</stp>
        <stp>A</stp>
        <tr r="O4" s="1"/>
      </tp>
      <tp>
        <v>54.21</v>
        <stp/>
        <stp>52LOW</stp>
        <stp>C</stp>
        <tr r="O78" s="1"/>
      </tp>
      <tp>
        <v>17.405000000000001</v>
        <stp/>
        <stp>52LOW</stp>
        <stp>M</stp>
        <tr r="O288" s="1"/>
      </tp>
      <tp>
        <v>43.37</v>
        <stp/>
        <stp>52LOW</stp>
        <stp>L</stp>
        <tr r="O269" s="1"/>
      </tp>
      <tp>
        <v>58.76</v>
        <stp/>
        <stp>52LOW</stp>
        <stp>K</stp>
        <tr r="O258" s="1"/>
      </tp>
      <tp>
        <v>32.549999999999997</v>
        <stp/>
        <stp>52LOW</stp>
        <stp>T</stp>
        <tr r="O433" s="1"/>
      </tp>
      <tp>
        <v>75.17</v>
        <stp/>
        <stp>52LOW</stp>
        <stp>V</stp>
        <tr r="O464" s="1"/>
      </tp>
      <tp>
        <v>5.62</v>
        <stp/>
        <stp>52LOW</stp>
        <stp>S</stp>
        <tr r="O402" s="1"/>
      </tp>
      <tp>
        <v>62.52</v>
        <stp/>
        <stp>52LOW</stp>
        <stp>R</stp>
        <tr r="O388" s="1"/>
      </tp>
      <tp>
        <v>18.55</v>
        <stp/>
        <stp>52LOW</stp>
        <stp>X</stp>
        <tr r="O492" s="1"/>
      </tp>
      <tp>
        <v>30</v>
        <stp/>
        <stp>BID_SIZE</stp>
        <stp>INTC</stp>
        <tr r="H239" s="1"/>
      </tp>
      <tp>
        <v>4</v>
        <stp/>
        <stp>BID_SIZE</stp>
        <stp>INTU</stp>
        <tr r="H240" s="1"/>
      </tp>
      <tp>
        <v>1</v>
        <stp/>
        <stp>ASK_SIZE</stp>
        <stp>AAPL</stp>
        <tr r="I6" s="1"/>
      </tp>
      <tp>
        <v>1</v>
        <stp/>
        <stp>BID_SIZE</stp>
        <stp>JNPR</stp>
        <tr r="H254" s="1"/>
      </tp>
      <tp>
        <v>60</v>
        <stp/>
        <stp>ASK_SIZE</stp>
        <stp>FAST</stp>
        <tr r="I177" s="1"/>
      </tp>
      <tp>
        <v>1</v>
        <stp/>
        <stp>BID_SIZE</stp>
        <stp>MNST</stp>
        <tr r="H306" s="1"/>
      </tp>
      <tp>
        <v>2</v>
        <stp/>
        <stp>ASK_SIZE</stp>
        <stp>PAYX</stp>
        <tr r="I350" s="1"/>
      </tp>
      <tp>
        <v>0</v>
        <stp/>
        <stp>BID_SIZE</stp>
        <stp>SNDK</stp>
        <tr r="H415" s="1"/>
      </tp>
      <tp>
        <v>1</v>
        <stp/>
        <stp>ASK_SIZE</stp>
        <stp>SBUX</stp>
        <tr r="I404" s="1"/>
      </tp>
      <tp>
        <v>1</v>
        <stp/>
        <stp>BID_SIZE</stp>
        <stp>AMZN</stp>
        <tr r="H37" s="1"/>
      </tp>
      <tp>
        <v>5</v>
        <stp/>
        <stp>BID_SIZE</stp>
        <stp>AMGN</stp>
        <tr r="H34" s="1"/>
      </tp>
      <tp>
        <v>58</v>
        <stp/>
        <stp>ASK_SIZE</stp>
        <stp>HBAN</stp>
        <tr r="I215" s="1"/>
      </tp>
      <tp>
        <v>1</v>
        <stp/>
        <stp>ASK_SIZE</stp>
        <stp>EBAY</stp>
        <tr r="I155" s="1"/>
      </tp>
      <tp>
        <v>3</v>
        <stp/>
        <stp>BID_SIZE</stp>
        <stp>AMAT</stp>
        <tr r="H32" s="1"/>
      </tp>
      <tp>
        <v>10</v>
        <stp/>
        <stp>ASK_SIZE</stp>
        <stp>BBBY</stp>
        <tr r="I56" s="1"/>
      </tp>
      <tp>
        <v>3</v>
        <stp/>
        <stp>ASK_SIZE</stp>
        <stp>ABBV</stp>
        <tr r="I7" s="1"/>
      </tp>
      <tp>
        <v>11</v>
        <stp/>
        <stp>ASK_SIZE</stp>
        <stp>PBCT</stp>
        <tr r="I351" s="1"/>
      </tp>
      <tp>
        <v>0</v>
        <stp/>
        <stp>BID_SIZE</stp>
        <stp>LLTC</stp>
        <tr r="H275" s="1"/>
      </tp>
      <tp>
        <v>2</v>
        <stp/>
        <stp>BID_SIZE</stp>
        <stp>DLTR</stp>
        <tr r="H141" s="1"/>
      </tp>
      <tp>
        <v>2</v>
        <stp/>
        <stp>BID_SIZE</stp>
        <stp>ALTR</stp>
        <tr r="H30" s="1"/>
      </tp>
      <tp>
        <v>1</v>
        <stp/>
        <stp>BID_SIZE</stp>
        <stp>DLPH</stp>
        <tr r="H140" s="1"/>
      </tp>
      <tp>
        <v>1</v>
        <stp/>
        <stp>BID_SIZE</stp>
        <stp>ALXN</stp>
        <tr r="H31" s="1"/>
      </tp>
      <tp>
        <v>1</v>
        <stp/>
        <stp>BID_SIZE</stp>
        <stp>KLAC</stp>
        <tr r="H261" s="1"/>
      </tp>
      <tp>
        <v>3</v>
        <stp/>
        <stp>ASK_SIZE</stp>
        <stp>PCAR</stp>
        <tr r="I353" s="1"/>
      </tp>
      <tp>
        <v>0</v>
        <stp/>
        <stp>ASK_SIZE</stp>
        <stp>HCBK</stp>
        <tr r="I216" s="1"/>
      </tp>
      <tp>
        <v>2</v>
        <stp/>
        <stp>ASK_SIZE</stp>
        <stp>PCLN</stp>
        <tr r="I356" s="1"/>
      </tp>
      <tp>
        <v>1</v>
        <stp/>
        <stp>BID_SIZE</stp>
        <stp>XLNX</stp>
        <tr r="H495" s="1"/>
      </tp>
      <tp>
        <v>1</v>
        <stp/>
        <stp>ASK_SIZE</stp>
        <stp>QCOM</stp>
        <tr r="I386" s="1"/>
      </tp>
      <tp>
        <v>1</v>
        <stp/>
        <stp>ASK_SIZE</stp>
        <stp>SCHW</stp>
        <tr r="I406" s="1"/>
      </tp>
      <tp>
        <v>2</v>
        <stp/>
        <stp>ASK_SIZE</stp>
        <stp>MCHP</stp>
        <tr r="I295" s="1"/>
      </tp>
      <tp>
        <v>1</v>
        <stp/>
        <stp>BID_SIZE</stp>
        <stp>FLIR</stp>
        <tr r="H187" s="1"/>
      </tp>
      <tp>
        <v>1</v>
        <stp/>
        <stp>ASK_SIZE</stp>
        <stp>ADSK</stp>
        <tr r="I17" s="1"/>
      </tp>
      <tp>
        <v>0</v>
        <stp/>
        <stp>ASK_SIZE</stp>
        <stp>JDSU</stp>
        <tr r="I251" s="1"/>
      </tp>
      <tp>
        <v>3</v>
        <stp/>
        <stp>BID_SIZE</stp>
        <stp>AKAM</stp>
        <tr r="H28" s="1"/>
      </tp>
      <tp>
        <v>1</v>
        <stp/>
        <stp>ASK_SIZE</stp>
        <stp>NDAQ</stp>
        <tr r="I324" s="1"/>
      </tp>
      <tp>
        <v>1</v>
        <stp/>
        <stp>ASK_SIZE</stp>
        <stp>ADBE</stp>
        <tr r="I13" s="1"/>
      </tp>
      <tp>
        <v>1</v>
        <stp/>
        <stp>ASK_SIZE</stp>
        <stp>PDCO</stp>
        <tr r="I358" s="1"/>
      </tp>
      <tp>
        <v>1</v>
        <stp/>
        <stp>ASK_SIZE</stp>
        <stp>MDLZ</stp>
        <tr r="I298" s="1"/>
      </tp>
      <tp>
        <v>0</v>
        <stp/>
        <stp>ASK_SIZE</stp>
        <stp>PETM</stp>
        <tr r="I361" s="1"/>
      </tp>
      <tp>
        <v>1</v>
        <stp/>
        <stp>ASK_SIZE</stp>
        <stp>CERN</stp>
        <tr r="I91" s="1"/>
      </tp>
      <tp>
        <v>1</v>
        <stp/>
        <stp>ASK_SIZE</stp>
        <stp>REGN</stp>
        <tr r="I391" s="1"/>
      </tp>
      <tp>
        <v>0</v>
        <stp/>
        <stp>ASK_SIZE</stp>
        <stp>BEAM</stp>
        <tr r="I61" s="1"/>
      </tp>
      <tp>
        <v>0</v>
        <stp/>
        <stp>ASK_SIZE</stp>
        <stp>DELL</stp>
        <tr r="I131" s="1"/>
      </tp>
      <tp>
        <v>1</v>
        <stp/>
        <stp>ASK_SIZE</stp>
        <stp>CELG</stp>
        <tr r="I90" s="1"/>
      </tp>
      <tp>
        <v>109.7</v>
        <stp/>
        <stp>LOW</stp>
        <stp>V</stp>
        <tr r="M464" s="1"/>
      </tp>
      <tp>
        <v>34.35</v>
        <stp/>
        <stp>LOW</stp>
        <stp>T</stp>
        <tr r="M433" s="1"/>
      </tp>
      <tp>
        <v>6.18</v>
        <stp/>
        <stp>LOW</stp>
        <stp>S</stp>
        <tr r="M402" s="1"/>
      </tp>
      <tp>
        <v>76.11</v>
        <stp/>
        <stp>LOW</stp>
        <stp>R</stp>
        <tr r="M388" s="1"/>
      </tp>
      <tp>
        <v>26.89</v>
        <stp/>
        <stp>LOW</stp>
        <stp>X</stp>
        <tr r="M492" s="1"/>
      </tp>
      <tp>
        <v>11.984999999999999</v>
        <stp/>
        <stp>LOW</stp>
        <stp>F</stp>
        <tr r="M176" s="1"/>
      </tp>
      <tp>
        <v>81.25</v>
        <stp/>
        <stp>LOW</stp>
        <stp>D</stp>
        <tr r="M128" s="1"/>
      </tp>
      <tp>
        <v>70.94</v>
        <stp/>
        <stp>LOW</stp>
        <stp>C</stp>
        <tr r="M78" s="1"/>
      </tp>
      <tp>
        <v>68.290000000000006</v>
        <stp/>
        <stp>LOW</stp>
        <stp>A</stp>
        <tr r="M4" s="1"/>
      </tp>
      <tp>
        <v>20.234999999999999</v>
        <stp/>
        <stp>LOW</stp>
        <stp>M</stp>
        <tr r="M288" s="1"/>
      </tp>
      <tp>
        <v>48.960099999999997</v>
        <stp/>
        <stp>LOW</stp>
        <stp>L</stp>
        <tr r="M269" s="1"/>
      </tp>
      <tp>
        <v>64.930000000000007</v>
        <stp/>
        <stp>LOW</stp>
        <stp>K</stp>
        <tr r="M258" s="1"/>
      </tp>
      <tp>
        <v>0</v>
        <stp/>
        <stp>ASK_SIZE</stp>
        <stp>BF-B</stp>
        <tr r="I63" s="1"/>
      </tp>
      <tp>
        <v>7</v>
        <stp/>
        <stp>BID_SIZE</stp>
        <stp>FITB</stp>
        <tr r="H186" s="1"/>
      </tp>
      <tp>
        <v>5</v>
        <stp/>
        <stp>BID_SIZE</stp>
        <stp>FISV</stp>
        <tr r="H185" s="1"/>
      </tp>
      <tp>
        <v>2</v>
        <stp/>
        <stp>BID_SIZE</stp>
        <stp>LIFE</stp>
        <tr r="H273" s="1"/>
      </tp>
      <tp>
        <v>0</v>
        <stp/>
        <stp>BID_SIZE</stp>
        <stp>SIAL</stp>
        <tr r="H410" s="1"/>
      </tp>
      <tp>
        <v>1</v>
        <stp/>
        <stp>BID_SIZE</stp>
        <stp>VIAB</stp>
        <tr r="H467" s="1"/>
      </tp>
      <tp>
        <v>1</v>
        <stp/>
        <stp>BID_SIZE</stp>
        <stp>GILD</stp>
        <tr r="H200" s="1"/>
      </tp>
      <tp>
        <v>1</v>
        <stp/>
        <stp>ASK_SIZE</stp>
        <stp>NFLX</stp>
        <tr r="I328" s="1"/>
      </tp>
      <tp>
        <v>0</v>
        <stp/>
        <stp>BID_SIZE</stp>
        <stp>CINF</stp>
        <tr r="H97" s="1"/>
      </tp>
      <tp>
        <v>2</v>
        <stp/>
        <stp>BID_SIZE</stp>
        <stp>ZION</stp>
        <tr r="H502" s="1"/>
      </tp>
      <tp>
        <v>2</v>
        <stp/>
        <stp>BID_SIZE</stp>
        <stp>BIIB</stp>
        <tr r="H65" s="1"/>
      </tp>
      <tp>
        <v>2</v>
        <stp/>
        <stp>ASK_SIZE</stp>
        <stp>FFIV</stp>
        <tr r="I182" s="1"/>
      </tp>
      <tp>
        <v>1</v>
        <stp/>
        <stp>BID_SIZE</stp>
        <stp>CHRW</stp>
        <tr r="H95" s="1"/>
      </tp>
      <tp>
        <v>0</v>
        <stp/>
        <stp>BID_SIZE</stp>
        <stp>YHOO</stp>
        <tr r="H50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3"/>
  <sheetViews>
    <sheetView tabSelected="1" topLeftCell="A340" workbookViewId="0">
      <selection activeCell="J19" sqref="J19"/>
    </sheetView>
  </sheetViews>
  <sheetFormatPr defaultRowHeight="15" x14ac:dyDescent="0.25"/>
  <cols>
    <col min="2" max="2" width="12.5703125" customWidth="1"/>
    <col min="3" max="3" width="10.42578125" bestFit="1" customWidth="1"/>
  </cols>
  <sheetData>
    <row r="1" spans="1:16" ht="15.75" x14ac:dyDescent="0.25">
      <c r="A1" t="s">
        <v>0</v>
      </c>
      <c r="C1" s="1"/>
    </row>
    <row r="2" spans="1:16" x14ac:dyDescent="0.25">
      <c r="A2" t="s">
        <v>1</v>
      </c>
      <c r="D2">
        <f>COLUMN()</f>
        <v>4</v>
      </c>
      <c r="E2">
        <f>COLUMN()</f>
        <v>5</v>
      </c>
      <c r="F2">
        <f>COLUMN()</f>
        <v>6</v>
      </c>
      <c r="G2">
        <f>COLUMN()</f>
        <v>7</v>
      </c>
      <c r="H2">
        <f>COLUMN()</f>
        <v>8</v>
      </c>
      <c r="I2">
        <f>COLUMN()</f>
        <v>9</v>
      </c>
      <c r="J2">
        <f>COLUMN()</f>
        <v>10</v>
      </c>
      <c r="K2">
        <f>COLUMN()</f>
        <v>11</v>
      </c>
      <c r="L2">
        <f>COLUMN()</f>
        <v>12</v>
      </c>
      <c r="M2">
        <f>COLUMN()</f>
        <v>13</v>
      </c>
      <c r="N2">
        <f>COLUMN()</f>
        <v>14</v>
      </c>
      <c r="O2">
        <f>COLUMN()</f>
        <v>15</v>
      </c>
    </row>
    <row r="3" spans="1:16" x14ac:dyDescent="0.25">
      <c r="A3" t="s">
        <v>2</v>
      </c>
      <c r="B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</row>
    <row r="4" spans="1:16" x14ac:dyDescent="0.25">
      <c r="A4" t="s">
        <v>18</v>
      </c>
      <c r="B4">
        <f>RTD("tos.rtd", , "Last", A4)</f>
        <v>68.790000000000006</v>
      </c>
      <c r="C4" t="str">
        <f>RTD("tos.rtd", , "STRENGTH_METER", A4)</f>
        <v>Range Bound</v>
      </c>
      <c r="D4" t="str">
        <f>RTD("tos.rtd", , "QUOTE_TREND", A4)</f>
        <v>instrument=A</v>
      </c>
      <c r="E4">
        <f>RTD("tos.rtd", , "NET_CHANGE", A4)</f>
        <v>0.05</v>
      </c>
      <c r="F4">
        <f>RTD("tos.rtd", , "BID", A4)</f>
        <v>68.790000000000006</v>
      </c>
      <c r="G4">
        <f>RTD("tos.rtd", , "ASK", A4)</f>
        <v>69.94</v>
      </c>
      <c r="H4">
        <f>RTD("tos.rtd", , "BID_SIZE", A4)</f>
        <v>1</v>
      </c>
      <c r="I4">
        <f>RTD("tos.rtd", , "ASK_SIZE", A4)</f>
        <v>2</v>
      </c>
      <c r="J4">
        <f>RTD("tos.rtd", , "VOLUME", A4)</f>
        <v>1818392</v>
      </c>
      <c r="K4">
        <f>RTD("tos.rtd", , "OPEN", A4)</f>
        <v>68.53</v>
      </c>
      <c r="L4">
        <f>RTD("tos.rtd", , "HIGH",A4)</f>
        <v>69.09</v>
      </c>
      <c r="M4">
        <f>RTD("tos.rtd", , "LOW", A4)</f>
        <v>68.290000000000006</v>
      </c>
      <c r="N4">
        <f>RTD("tos.rtd", , "52HIGH", A4)</f>
        <v>68.95</v>
      </c>
      <c r="O4">
        <f>RTD("tos.rtd", , "52LOW", A4)</f>
        <v>42.92</v>
      </c>
      <c r="P4">
        <f>RTD("tos.rtd", , "Mark", A4)</f>
        <v>68.790000000000006</v>
      </c>
    </row>
    <row r="5" spans="1:16" x14ac:dyDescent="0.25">
      <c r="A5" t="s">
        <v>19</v>
      </c>
      <c r="B5">
        <f>RTD("tos.rtd", , "Last", A5)</f>
        <v>43.4</v>
      </c>
      <c r="C5" t="str">
        <f>RTD("tos.rtd", , "STRENGTH_METER", A5)</f>
        <v>Downtrend</v>
      </c>
      <c r="D5" t="str">
        <f>RTD("tos.rtd", , "QUOTE_TREND", A5)</f>
        <v>instrument=AA</v>
      </c>
      <c r="E5">
        <f>RTD("tos.rtd", , "NET_CHANGE", A5)</f>
        <v>1.1000000000000001</v>
      </c>
      <c r="F5">
        <f>RTD("tos.rtd", , "BID", A5)</f>
        <v>43.25</v>
      </c>
      <c r="G5">
        <f>RTD("tos.rtd", , "ASK", A5)</f>
        <v>43.41</v>
      </c>
      <c r="H5">
        <f>RTD("tos.rtd", , "BID_SIZE", A5)</f>
        <v>3</v>
      </c>
      <c r="I5">
        <f>RTD("tos.rtd", , "ASK_SIZE", A5)</f>
        <v>94</v>
      </c>
      <c r="J5">
        <f>RTD("tos.rtd", , "VOLUME", A5)</f>
        <v>3569044</v>
      </c>
      <c r="K5">
        <f>RTD("tos.rtd", , "OPEN", A5)</f>
        <v>42</v>
      </c>
      <c r="L5">
        <f>RTD("tos.rtd", , "HIGH",A5)</f>
        <v>43.6</v>
      </c>
      <c r="M5">
        <f>RTD("tos.rtd", , "LOW", A5)</f>
        <v>42</v>
      </c>
      <c r="N5">
        <f>RTD("tos.rtd", , "52HIGH", A5)</f>
        <v>50.31</v>
      </c>
      <c r="O5">
        <f>RTD("tos.rtd", , "52LOW", A5)</f>
        <v>28.01</v>
      </c>
      <c r="P5">
        <f>RTD("tos.rtd", , "Mark", A5)</f>
        <v>43.4</v>
      </c>
    </row>
    <row r="6" spans="1:16" x14ac:dyDescent="0.25">
      <c r="A6" t="s">
        <v>20</v>
      </c>
      <c r="B6">
        <f>RTD("tos.rtd", , "Last", A6)</f>
        <v>170.15</v>
      </c>
      <c r="C6" t="str">
        <f>RTD("tos.rtd", , "STRENGTH_METER", A6)</f>
        <v>Range Bound</v>
      </c>
      <c r="D6" t="str">
        <f>RTD("tos.rtd", , "QUOTE_TREND", A6)</f>
        <v>instrument=AAPL</v>
      </c>
      <c r="E6">
        <f>RTD("tos.rtd", , "NET_CHANGE", A6)</f>
        <v>-0.95</v>
      </c>
      <c r="F6">
        <f>RTD("tos.rtd", , "BID", A6)</f>
        <v>170</v>
      </c>
      <c r="G6">
        <f>RTD("tos.rtd", , "ASK", A6)</f>
        <v>170.02</v>
      </c>
      <c r="H6">
        <f>RTD("tos.rtd", , "BID_SIZE", A6)</f>
        <v>8</v>
      </c>
      <c r="I6">
        <f>RTD("tos.rtd", , "ASK_SIZE", A6)</f>
        <v>1</v>
      </c>
      <c r="J6">
        <f>RTD("tos.rtd", , "VOLUME", A6)</f>
        <v>21811338</v>
      </c>
      <c r="K6">
        <f>RTD("tos.rtd", , "OPEN", A6)</f>
        <v>171.04</v>
      </c>
      <c r="L6">
        <f>RTD("tos.rtd", , "HIGH",A6)</f>
        <v>171.39</v>
      </c>
      <c r="M6">
        <f>RTD("tos.rtd", , "LOW", A6)</f>
        <v>169.64</v>
      </c>
      <c r="N6">
        <f>RTD("tos.rtd", , "52HIGH", A6)</f>
        <v>176.24</v>
      </c>
      <c r="O6">
        <f>RTD("tos.rtd", , "52LOW", A6)</f>
        <v>106.6</v>
      </c>
      <c r="P6">
        <f>RTD("tos.rtd", , "Mark", A6)</f>
        <v>170.02</v>
      </c>
    </row>
    <row r="7" spans="1:16" x14ac:dyDescent="0.25">
      <c r="A7" t="s">
        <v>21</v>
      </c>
      <c r="B7">
        <f>RTD("tos.rtd", , "Last", A7)</f>
        <v>93.61</v>
      </c>
      <c r="C7" t="str">
        <f>RTD("tos.rtd", , "STRENGTH_METER", A7)</f>
        <v>Range Bound</v>
      </c>
      <c r="D7" t="str">
        <f>RTD("tos.rtd", , "QUOTE_TREND", A7)</f>
        <v>instrument=ABBV</v>
      </c>
      <c r="E7">
        <f>RTD("tos.rtd", , "NET_CHANGE", A7)</f>
        <v>-0.86</v>
      </c>
      <c r="F7">
        <f>RTD("tos.rtd", , "BID", A7)</f>
        <v>92</v>
      </c>
      <c r="G7">
        <f>RTD("tos.rtd", , "ASK", A7)</f>
        <v>94.89</v>
      </c>
      <c r="H7">
        <f>RTD("tos.rtd", , "BID_SIZE", A7)</f>
        <v>5</v>
      </c>
      <c r="I7">
        <f>RTD("tos.rtd", , "ASK_SIZE", A7)</f>
        <v>3</v>
      </c>
      <c r="J7">
        <f>RTD("tos.rtd", , "VOLUME", A7)</f>
        <v>3258991</v>
      </c>
      <c r="K7">
        <f>RTD("tos.rtd", , "OPEN", A7)</f>
        <v>93.8</v>
      </c>
      <c r="L7">
        <f>RTD("tos.rtd", , "HIGH",A7)</f>
        <v>94.49</v>
      </c>
      <c r="M7">
        <f>RTD("tos.rtd", , "LOW", A7)</f>
        <v>93.57</v>
      </c>
      <c r="N7">
        <f>RTD("tos.rtd", , "52HIGH", A7)</f>
        <v>98.26</v>
      </c>
      <c r="O7">
        <f>RTD("tos.rtd", , "52LOW", A7)</f>
        <v>58.6</v>
      </c>
      <c r="P7">
        <f>RTD("tos.rtd", , "Mark", A7)</f>
        <v>93.61</v>
      </c>
    </row>
    <row r="8" spans="1:16" x14ac:dyDescent="0.25">
      <c r="A8" t="s">
        <v>22</v>
      </c>
      <c r="B8">
        <f>RTD("tos.rtd", , "Last", A8)</f>
        <v>78.84</v>
      </c>
      <c r="C8" t="str">
        <f>RTD("tos.rtd", , "STRENGTH_METER", A8)</f>
        <v>Range Bound</v>
      </c>
      <c r="D8" t="str">
        <f>RTD("tos.rtd", , "QUOTE_TREND", A8)</f>
        <v>instrument=ABC</v>
      </c>
      <c r="E8">
        <f>RTD("tos.rtd", , "NET_CHANGE", A8)</f>
        <v>-1.0900000000000001</v>
      </c>
      <c r="F8">
        <f>RTD("tos.rtd", , "BID", A8)</f>
        <v>74.88</v>
      </c>
      <c r="G8">
        <f>RTD("tos.rtd", , "ASK", A8)</f>
        <v>79</v>
      </c>
      <c r="H8">
        <f>RTD("tos.rtd", , "BID_SIZE", A8)</f>
        <v>1</v>
      </c>
      <c r="I8">
        <f>RTD("tos.rtd", , "ASK_SIZE", A8)</f>
        <v>1</v>
      </c>
      <c r="J8">
        <f>RTD("tos.rtd", , "VOLUME", A8)</f>
        <v>2189355</v>
      </c>
      <c r="K8">
        <f>RTD("tos.rtd", , "OPEN", A8)</f>
        <v>79.650000000000006</v>
      </c>
      <c r="L8">
        <f>RTD("tos.rtd", , "HIGH",A8)</f>
        <v>80.03</v>
      </c>
      <c r="M8">
        <f>RTD("tos.rtd", , "LOW", A8)</f>
        <v>77.58</v>
      </c>
      <c r="N8">
        <f>RTD("tos.rtd", , "52HIGH", A8)</f>
        <v>97.85</v>
      </c>
      <c r="O8">
        <f>RTD("tos.rtd", , "52LOW", A8)</f>
        <v>71.900000000000006</v>
      </c>
      <c r="P8">
        <f>RTD("tos.rtd", , "Mark", A8)</f>
        <v>78.84</v>
      </c>
    </row>
    <row r="9" spans="1:16" x14ac:dyDescent="0.25">
      <c r="A9" t="s">
        <v>23</v>
      </c>
      <c r="B9">
        <f>RTD("tos.rtd", , "Last", A9)</f>
        <v>55.56</v>
      </c>
      <c r="C9" t="str">
        <f>RTD("tos.rtd", , "STRENGTH_METER", A9)</f>
        <v>Range Bound</v>
      </c>
      <c r="D9" t="str">
        <f>RTD("tos.rtd", , "QUOTE_TREND", A9)</f>
        <v>instrument=ABT</v>
      </c>
      <c r="E9">
        <f>RTD("tos.rtd", , "NET_CHANGE", A9)</f>
        <v>0.02</v>
      </c>
      <c r="F9">
        <f>RTD("tos.rtd", , "BID", A9)</f>
        <v>55.4</v>
      </c>
      <c r="G9">
        <f>RTD("tos.rtd", , "ASK", A9)</f>
        <v>55.58</v>
      </c>
      <c r="H9">
        <f>RTD("tos.rtd", , "BID_SIZE", A9)</f>
        <v>67</v>
      </c>
      <c r="I9">
        <f>RTD("tos.rtd", , "ASK_SIZE", A9)</f>
        <v>1</v>
      </c>
      <c r="J9">
        <f>RTD("tos.rtd", , "VOLUME", A9)</f>
        <v>6253571</v>
      </c>
      <c r="K9">
        <f>RTD("tos.rtd", , "OPEN", A9)</f>
        <v>55.29</v>
      </c>
      <c r="L9">
        <f>RTD("tos.rtd", , "HIGH",A9)</f>
        <v>55.71</v>
      </c>
      <c r="M9">
        <f>RTD("tos.rtd", , "LOW", A9)</f>
        <v>55.22</v>
      </c>
      <c r="N9">
        <f>RTD("tos.rtd", , "52HIGH", A9)</f>
        <v>56.685000000000002</v>
      </c>
      <c r="O9">
        <f>RTD("tos.rtd", , "52LOW", A9)</f>
        <v>37.380000000000003</v>
      </c>
      <c r="P9">
        <f>RTD("tos.rtd", , "Mark", A9)</f>
        <v>55.56</v>
      </c>
    </row>
    <row r="10" spans="1:16" x14ac:dyDescent="0.25">
      <c r="A10" t="s">
        <v>24</v>
      </c>
      <c r="B10">
        <f>RTD("tos.rtd", , "Last", A10)</f>
        <v>0</v>
      </c>
      <c r="C10" t="str">
        <f>RTD("tos.rtd", , "STRENGTH_METER", A10)</f>
        <v>N/A</v>
      </c>
      <c r="D10" t="str">
        <f>RTD("tos.rtd", , "QUOTE_TREND", A10)</f>
        <v>instrument=ACE</v>
      </c>
      <c r="E10">
        <f>RTD("tos.rtd", , "NET_CHANGE", A10)</f>
        <v>0</v>
      </c>
      <c r="F10">
        <f>RTD("tos.rtd", , "BID", A10)</f>
        <v>111.35</v>
      </c>
      <c r="G10">
        <f>RTD("tos.rtd", , "ASK", A10)</f>
        <v>112.05</v>
      </c>
      <c r="H10">
        <f>RTD("tos.rtd", , "BID_SIZE", A10)</f>
        <v>0</v>
      </c>
      <c r="I10">
        <f>RTD("tos.rtd", , "ASK_SIZE", A10)</f>
        <v>0</v>
      </c>
      <c r="J10">
        <f>RTD("tos.rtd", , "VOLUME", A10)</f>
        <v>0</v>
      </c>
      <c r="K10">
        <f>RTD("tos.rtd", , "OPEN", A10)</f>
        <v>0</v>
      </c>
      <c r="L10">
        <f>RTD("tos.rtd", , "HIGH",A10)</f>
        <v>0</v>
      </c>
      <c r="M10">
        <f>RTD("tos.rtd", , "LOW", A10)</f>
        <v>0</v>
      </c>
      <c r="N10">
        <f>RTD("tos.rtd", , "52HIGH", A10)</f>
        <v>119.855</v>
      </c>
      <c r="O10">
        <f>RTD("tos.rtd", , "52LOW", A10)</f>
        <v>96</v>
      </c>
      <c r="P10">
        <f>RTD("tos.rtd", , "Mark", A10)</f>
        <v>111.35</v>
      </c>
    </row>
    <row r="11" spans="1:16" x14ac:dyDescent="0.25">
      <c r="A11" t="s">
        <v>25</v>
      </c>
      <c r="B11">
        <f>RTD("tos.rtd", , "Last", A11)</f>
        <v>145.44999999999999</v>
      </c>
      <c r="C11" t="str">
        <f>RTD("tos.rtd", , "STRENGTH_METER", A11)</f>
        <v>Range Bound</v>
      </c>
      <c r="D11" t="str">
        <f>RTD("tos.rtd", , "QUOTE_TREND", A11)</f>
        <v>instrument=ACN</v>
      </c>
      <c r="E11">
        <f>RTD("tos.rtd", , "NET_CHANGE", A11)</f>
        <v>-1.59</v>
      </c>
      <c r="F11">
        <f>RTD("tos.rtd", , "BID", A11)</f>
        <v>139</v>
      </c>
      <c r="G11">
        <f>RTD("tos.rtd", , "ASK", A11)</f>
        <v>153.37</v>
      </c>
      <c r="H11">
        <f>RTD("tos.rtd", , "BID_SIZE", A11)</f>
        <v>1</v>
      </c>
      <c r="I11">
        <f>RTD("tos.rtd", , "ASK_SIZE", A11)</f>
        <v>0</v>
      </c>
      <c r="J11">
        <f>RTD("tos.rtd", , "VOLUME", A11)</f>
        <v>2550530</v>
      </c>
      <c r="K11">
        <f>RTD("tos.rtd", , "OPEN", A11)</f>
        <v>146.38999999999999</v>
      </c>
      <c r="L11">
        <f>RTD("tos.rtd", , "HIGH",A11)</f>
        <v>146.79</v>
      </c>
      <c r="M11">
        <f>RTD("tos.rtd", , "LOW", A11)</f>
        <v>144.75</v>
      </c>
      <c r="N11">
        <f>RTD("tos.rtd", , "52HIGH", A11)</f>
        <v>147.28</v>
      </c>
      <c r="O11">
        <f>RTD("tos.rtd", , "52LOW", A11)</f>
        <v>112.31</v>
      </c>
      <c r="P11">
        <f>RTD("tos.rtd", , "Mark", A11)</f>
        <v>145.44999999999999</v>
      </c>
    </row>
    <row r="12" spans="1:16" x14ac:dyDescent="0.25">
      <c r="A12" t="s">
        <v>26</v>
      </c>
      <c r="B12">
        <f>RTD("tos.rtd", , "Last", A12)</f>
        <v>0</v>
      </c>
      <c r="C12" t="str">
        <f>RTD("tos.rtd", , "STRENGTH_METER", A12)</f>
        <v>N/A</v>
      </c>
      <c r="D12" t="str">
        <f>RTD("tos.rtd", , "QUOTE_TREND", A12)</f>
        <v>instrument=ACT</v>
      </c>
      <c r="E12">
        <f>RTD("tos.rtd", , "NET_CHANGE", A12)</f>
        <v>0</v>
      </c>
      <c r="F12">
        <f>RTD("tos.rtd", , "BID", A12)</f>
        <v>298</v>
      </c>
      <c r="G12">
        <f>RTD("tos.rtd", , "ASK", A12)</f>
        <v>400</v>
      </c>
      <c r="H12">
        <f>RTD("tos.rtd", , "BID_SIZE", A12)</f>
        <v>0</v>
      </c>
      <c r="I12">
        <f>RTD("tos.rtd", , "ASK_SIZE", A12)</f>
        <v>0</v>
      </c>
      <c r="J12">
        <f>RTD("tos.rtd", , "VOLUME", A12)</f>
        <v>0</v>
      </c>
      <c r="K12">
        <f>RTD("tos.rtd", , "OPEN", A12)</f>
        <v>0</v>
      </c>
      <c r="L12">
        <f>RTD("tos.rtd", , "HIGH",A12)</f>
        <v>0</v>
      </c>
      <c r="M12">
        <f>RTD("tos.rtd", , "LOW", A12)</f>
        <v>0</v>
      </c>
      <c r="N12">
        <f>RTD("tos.rtd", , "52HIGH", A12)</f>
        <v>0</v>
      </c>
      <c r="O12">
        <f>RTD("tos.rtd", , "52LOW", A12)</f>
        <v>0</v>
      </c>
      <c r="P12">
        <f>RTD("tos.rtd", , "Mark", A12)</f>
        <v>298</v>
      </c>
    </row>
    <row r="13" spans="1:16" x14ac:dyDescent="0.25">
      <c r="A13" t="s">
        <v>27</v>
      </c>
      <c r="B13">
        <f>RTD("tos.rtd", , "Last", A13)</f>
        <v>182.24</v>
      </c>
      <c r="C13" t="str">
        <f>RTD("tos.rtd", , "STRENGTH_METER", A13)</f>
        <v>Range Bound</v>
      </c>
      <c r="D13" t="str">
        <f>RTD("tos.rtd", , "QUOTE_TREND", A13)</f>
        <v>instrument=ADBE</v>
      </c>
      <c r="E13">
        <f>RTD("tos.rtd", , "NET_CHANGE", A13)</f>
        <v>-0.06</v>
      </c>
      <c r="F13">
        <f>RTD("tos.rtd", , "BID", A13)</f>
        <v>182.03</v>
      </c>
      <c r="G13">
        <f>RTD("tos.rtd", , "ASK", A13)</f>
        <v>183.58</v>
      </c>
      <c r="H13">
        <f>RTD("tos.rtd", , "BID_SIZE", A13)</f>
        <v>8</v>
      </c>
      <c r="I13">
        <f>RTD("tos.rtd", , "ASK_SIZE", A13)</f>
        <v>1</v>
      </c>
      <c r="J13">
        <f>RTD("tos.rtd", , "VOLUME", A13)</f>
        <v>1452443</v>
      </c>
      <c r="K13">
        <f>RTD("tos.rtd", , "OPEN", A13)</f>
        <v>182.08</v>
      </c>
      <c r="L13">
        <f>RTD("tos.rtd", , "HIGH",A13)</f>
        <v>182.91050000000001</v>
      </c>
      <c r="M13">
        <f>RTD("tos.rtd", , "LOW", A13)</f>
        <v>181.13499999999999</v>
      </c>
      <c r="N13">
        <f>RTD("tos.rtd", , "52HIGH", A13)</f>
        <v>184.44</v>
      </c>
      <c r="O13">
        <f>RTD("tos.rtd", , "52LOW", A13)</f>
        <v>98</v>
      </c>
      <c r="P13">
        <f>RTD("tos.rtd", , "Mark", A13)</f>
        <v>182.24</v>
      </c>
    </row>
    <row r="14" spans="1:16" x14ac:dyDescent="0.25">
      <c r="A14" t="s">
        <v>28</v>
      </c>
      <c r="B14">
        <f>RTD("tos.rtd", , "Last", A14)</f>
        <v>90.42</v>
      </c>
      <c r="C14" t="str">
        <f>RTD("tos.rtd", , "STRENGTH_METER", A14)</f>
        <v>Range Bound</v>
      </c>
      <c r="D14" t="str">
        <f>RTD("tos.rtd", , "QUOTE_TREND", A14)</f>
        <v>instrument=ADI</v>
      </c>
      <c r="E14">
        <f>RTD("tos.rtd", , "NET_CHANGE", A14)</f>
        <v>-0.06</v>
      </c>
      <c r="F14">
        <f>RTD("tos.rtd", , "BID", A14)</f>
        <v>91.2</v>
      </c>
      <c r="G14">
        <f>RTD("tos.rtd", , "ASK", A14)</f>
        <v>92.5</v>
      </c>
      <c r="H14">
        <f>RTD("tos.rtd", , "BID_SIZE", A14)</f>
        <v>2</v>
      </c>
      <c r="I14">
        <f>RTD("tos.rtd", , "ASK_SIZE", A14)</f>
        <v>2</v>
      </c>
      <c r="J14">
        <f>RTD("tos.rtd", , "VOLUME", A14)</f>
        <v>2337910</v>
      </c>
      <c r="K14">
        <f>RTD("tos.rtd", , "OPEN", A14)</f>
        <v>91</v>
      </c>
      <c r="L14">
        <f>RTD("tos.rtd", , "HIGH",A14)</f>
        <v>91.05</v>
      </c>
      <c r="M14">
        <f>RTD("tos.rtd", , "LOW", A14)</f>
        <v>90.24</v>
      </c>
      <c r="N14">
        <f>RTD("tos.rtd", , "52HIGH", A14)</f>
        <v>92.96</v>
      </c>
      <c r="O14">
        <f>RTD("tos.rtd", , "52LOW", A14)</f>
        <v>67.38</v>
      </c>
      <c r="P14">
        <f>RTD("tos.rtd", , "Mark", A14)</f>
        <v>91.2</v>
      </c>
    </row>
    <row r="15" spans="1:16" x14ac:dyDescent="0.25">
      <c r="A15" t="s">
        <v>29</v>
      </c>
      <c r="B15">
        <f>RTD("tos.rtd", , "Last", A15)</f>
        <v>39.42</v>
      </c>
      <c r="C15" t="str">
        <f>RTD("tos.rtd", , "STRENGTH_METER", A15)</f>
        <v>Range Bound</v>
      </c>
      <c r="D15" t="str">
        <f>RTD("tos.rtd", , "QUOTE_TREND", A15)</f>
        <v>instrument=ADM</v>
      </c>
      <c r="E15">
        <f>RTD("tos.rtd", , "NET_CHANGE", A15)</f>
        <v>0.23</v>
      </c>
      <c r="F15">
        <f>RTD("tos.rtd", , "BID", A15)</f>
        <v>39.31</v>
      </c>
      <c r="G15">
        <f>RTD("tos.rtd", , "ASK", A15)</f>
        <v>39.450000000000003</v>
      </c>
      <c r="H15">
        <f>RTD("tos.rtd", , "BID_SIZE", A15)</f>
        <v>1</v>
      </c>
      <c r="I15">
        <f>RTD("tos.rtd", , "ASK_SIZE", A15)</f>
        <v>1</v>
      </c>
      <c r="J15">
        <f>RTD("tos.rtd", , "VOLUME", A15)</f>
        <v>2603516</v>
      </c>
      <c r="K15">
        <f>RTD("tos.rtd", , "OPEN", A15)</f>
        <v>39.049999999999997</v>
      </c>
      <c r="L15">
        <f>RTD("tos.rtd", , "HIGH",A15)</f>
        <v>39.494999999999997</v>
      </c>
      <c r="M15">
        <f>RTD("tos.rtd", , "LOW", A15)</f>
        <v>39.049999999999997</v>
      </c>
      <c r="N15">
        <f>RTD("tos.rtd", , "52HIGH", A15)</f>
        <v>47.44</v>
      </c>
      <c r="O15">
        <f>RTD("tos.rtd", , "52LOW", A15)</f>
        <v>38.590000000000003</v>
      </c>
      <c r="P15">
        <f>RTD("tos.rtd", , "Mark", A15)</f>
        <v>39.42</v>
      </c>
    </row>
    <row r="16" spans="1:16" x14ac:dyDescent="0.25">
      <c r="A16" t="s">
        <v>30</v>
      </c>
      <c r="B16">
        <f>RTD("tos.rtd", , "Last", A16)</f>
        <v>111.06</v>
      </c>
      <c r="C16" t="str">
        <f>RTD("tos.rtd", , "STRENGTH_METER", A16)</f>
        <v>Range Bound</v>
      </c>
      <c r="D16" t="str">
        <f>RTD("tos.rtd", , "QUOTE_TREND", A16)</f>
        <v>instrument=ADP</v>
      </c>
      <c r="E16">
        <f>RTD("tos.rtd", , "NET_CHANGE", A16)</f>
        <v>0.03</v>
      </c>
      <c r="F16">
        <f>RTD("tos.rtd", , "BID", A16)</f>
        <v>108.8</v>
      </c>
      <c r="G16">
        <f>RTD("tos.rtd", , "ASK", A16)</f>
        <v>111.14</v>
      </c>
      <c r="H16">
        <f>RTD("tos.rtd", , "BID_SIZE", A16)</f>
        <v>1</v>
      </c>
      <c r="I16">
        <f>RTD("tos.rtd", , "ASK_SIZE", A16)</f>
        <v>1</v>
      </c>
      <c r="J16">
        <f>RTD("tos.rtd", , "VOLUME", A16)</f>
        <v>1967044</v>
      </c>
      <c r="K16">
        <f>RTD("tos.rtd", , "OPEN", A16)</f>
        <v>110.98</v>
      </c>
      <c r="L16">
        <f>RTD("tos.rtd", , "HIGH",A16)</f>
        <v>111.22</v>
      </c>
      <c r="M16">
        <f>RTD("tos.rtd", , "LOW", A16)</f>
        <v>110.2683</v>
      </c>
      <c r="N16">
        <f>RTD("tos.rtd", , "52HIGH", A16)</f>
        <v>121.77</v>
      </c>
      <c r="O16">
        <f>RTD("tos.rtd", , "52LOW", A16)</f>
        <v>91.602500000000006</v>
      </c>
      <c r="P16">
        <f>RTD("tos.rtd", , "Mark", A16)</f>
        <v>111.06</v>
      </c>
    </row>
    <row r="17" spans="1:16" x14ac:dyDescent="0.25">
      <c r="A17" t="s">
        <v>31</v>
      </c>
      <c r="B17">
        <f>RTD("tos.rtd", , "Last", A17)</f>
        <v>127.49</v>
      </c>
      <c r="C17" t="str">
        <f>RTD("tos.rtd", , "STRENGTH_METER", A17)</f>
        <v>Range Bound</v>
      </c>
      <c r="D17" t="str">
        <f>RTD("tos.rtd", , "QUOTE_TREND", A17)</f>
        <v>instrument=ADSK</v>
      </c>
      <c r="E17">
        <f>RTD("tos.rtd", , "NET_CHANGE", A17)</f>
        <v>0.49</v>
      </c>
      <c r="F17">
        <f>RTD("tos.rtd", , "BID", A17)</f>
        <v>126</v>
      </c>
      <c r="G17">
        <f>RTD("tos.rtd", , "ASK", A17)</f>
        <v>128.83000000000001</v>
      </c>
      <c r="H17">
        <f>RTD("tos.rtd", , "BID_SIZE", A17)</f>
        <v>1</v>
      </c>
      <c r="I17">
        <f>RTD("tos.rtd", , "ASK_SIZE", A17)</f>
        <v>1</v>
      </c>
      <c r="J17">
        <f>RTD("tos.rtd", , "VOLUME", A17)</f>
        <v>1459721</v>
      </c>
      <c r="K17">
        <f>RTD("tos.rtd", , "OPEN", A17)</f>
        <v>127.49</v>
      </c>
      <c r="L17">
        <f>RTD("tos.rtd", , "HIGH",A17)</f>
        <v>127.92</v>
      </c>
      <c r="M17">
        <f>RTD("tos.rtd", , "LOW", A17)</f>
        <v>125.87</v>
      </c>
      <c r="N17">
        <f>RTD("tos.rtd", , "52HIGH", A17)</f>
        <v>127</v>
      </c>
      <c r="O17">
        <f>RTD("tos.rtd", , "52LOW", A17)</f>
        <v>68.06</v>
      </c>
      <c r="P17">
        <f>RTD("tos.rtd", , "Mark", A17)</f>
        <v>127.49</v>
      </c>
    </row>
    <row r="18" spans="1:16" x14ac:dyDescent="0.25">
      <c r="A18" t="s">
        <v>32</v>
      </c>
      <c r="B18">
        <f>RTD("tos.rtd", , "Last", A18)</f>
        <v>0</v>
      </c>
      <c r="C18" t="str">
        <f>RTD("tos.rtd", , "STRENGTH_METER", A18)</f>
        <v>N/A</v>
      </c>
      <c r="D18" t="str">
        <f>RTD("tos.rtd", , "QUOTE_TREND", A18)</f>
        <v>instrument=ADT</v>
      </c>
      <c r="E18">
        <f>RTD("tos.rtd", , "NET_CHANGE", A18)</f>
        <v>0</v>
      </c>
      <c r="F18">
        <f>RTD("tos.rtd", , "BID", A18)</f>
        <v>41.96</v>
      </c>
      <c r="G18">
        <f>RTD("tos.rtd", , "ASK", A18)</f>
        <v>41.99</v>
      </c>
      <c r="H18">
        <f>RTD("tos.rtd", , "BID_SIZE", A18)</f>
        <v>0</v>
      </c>
      <c r="I18">
        <f>RTD("tos.rtd", , "ASK_SIZE", A18)</f>
        <v>0</v>
      </c>
      <c r="J18">
        <f>RTD("tos.rtd", , "VOLUME", A18)</f>
        <v>0</v>
      </c>
      <c r="K18">
        <f>RTD("tos.rtd", , "OPEN", A18)</f>
        <v>0</v>
      </c>
      <c r="L18">
        <f>RTD("tos.rtd", , "HIGH",A18)</f>
        <v>0</v>
      </c>
      <c r="M18">
        <f>RTD("tos.rtd", , "LOW", A18)</f>
        <v>0</v>
      </c>
      <c r="N18">
        <f>RTD("tos.rtd", , "52HIGH", A18)</f>
        <v>0</v>
      </c>
      <c r="O18">
        <f>RTD("tos.rtd", , "52LOW", A18)</f>
        <v>0</v>
      </c>
      <c r="P18">
        <f>RTD("tos.rtd", , "Mark", A18)</f>
        <v>41.96</v>
      </c>
    </row>
    <row r="19" spans="1:16" x14ac:dyDescent="0.25">
      <c r="A19" t="s">
        <v>33</v>
      </c>
      <c r="B19">
        <f>RTD("tos.rtd", , "Last", A19)</f>
        <v>63.3</v>
      </c>
      <c r="C19" t="str">
        <f>RTD("tos.rtd", , "STRENGTH_METER", A19)</f>
        <v>Range Bound</v>
      </c>
      <c r="D19" t="str">
        <f>RTD("tos.rtd", , "QUOTE_TREND", A19)</f>
        <v>instrument=AEE</v>
      </c>
      <c r="E19">
        <f>RTD("tos.rtd", , "NET_CHANGE", A19)</f>
        <v>-0.34</v>
      </c>
      <c r="F19">
        <f>RTD("tos.rtd", , "BID", A19)</f>
        <v>31.95</v>
      </c>
      <c r="G19">
        <f>RTD("tos.rtd", , "ASK", A19)</f>
        <v>64.13</v>
      </c>
      <c r="H19">
        <f>RTD("tos.rtd", , "BID_SIZE", A19)</f>
        <v>1</v>
      </c>
      <c r="I19">
        <f>RTD("tos.rtd", , "ASK_SIZE", A19)</f>
        <v>1</v>
      </c>
      <c r="J19">
        <f>RTD("tos.rtd", , "VOLUME", A19)</f>
        <v>1211752</v>
      </c>
      <c r="K19">
        <f>RTD("tos.rtd", , "OPEN", A19)</f>
        <v>63.43</v>
      </c>
      <c r="L19">
        <f>RTD("tos.rtd", , "HIGH",A19)</f>
        <v>63.8</v>
      </c>
      <c r="M19">
        <f>RTD("tos.rtd", , "LOW", A19)</f>
        <v>63.23</v>
      </c>
      <c r="N19">
        <f>RTD("tos.rtd", , "52HIGH", A19)</f>
        <v>64.89</v>
      </c>
      <c r="O19">
        <f>RTD("tos.rtd", , "52LOW", A19)</f>
        <v>48.19</v>
      </c>
      <c r="P19">
        <f>RTD("tos.rtd", , "Mark", A19)</f>
        <v>63.3</v>
      </c>
    </row>
    <row r="20" spans="1:16" x14ac:dyDescent="0.25">
      <c r="A20" t="s">
        <v>34</v>
      </c>
      <c r="B20">
        <f>RTD("tos.rtd", , "Last", A20)</f>
        <v>76.38</v>
      </c>
      <c r="C20" t="str">
        <f>RTD("tos.rtd", , "STRENGTH_METER", A20)</f>
        <v>Range Bound</v>
      </c>
      <c r="D20" t="str">
        <f>RTD("tos.rtd", , "QUOTE_TREND", A20)</f>
        <v>instrument=AEP</v>
      </c>
      <c r="E20">
        <f>RTD("tos.rtd", , "NET_CHANGE", A20)</f>
        <v>-0.38</v>
      </c>
      <c r="F20">
        <f>RTD("tos.rtd", , "BID", A20)</f>
        <v>69.38</v>
      </c>
      <c r="G20">
        <f>RTD("tos.rtd", , "ASK", A20)</f>
        <v>77.97</v>
      </c>
      <c r="H20">
        <f>RTD("tos.rtd", , "BID_SIZE", A20)</f>
        <v>4</v>
      </c>
      <c r="I20">
        <f>RTD("tos.rtd", , "ASK_SIZE", A20)</f>
        <v>3</v>
      </c>
      <c r="J20">
        <f>RTD("tos.rtd", , "VOLUME", A20)</f>
        <v>1719075</v>
      </c>
      <c r="K20">
        <f>RTD("tos.rtd", , "OPEN", A20)</f>
        <v>76.489999999999995</v>
      </c>
      <c r="L20">
        <f>RTD("tos.rtd", , "HIGH",A20)</f>
        <v>76.89</v>
      </c>
      <c r="M20">
        <f>RTD("tos.rtd", , "LOW", A20)</f>
        <v>76.099999999999994</v>
      </c>
      <c r="N20">
        <f>RTD("tos.rtd", , "52HIGH", A20)</f>
        <v>77.930000000000007</v>
      </c>
      <c r="O20">
        <f>RTD("tos.rtd", , "52LOW", A20)</f>
        <v>57.89</v>
      </c>
      <c r="P20">
        <f>RTD("tos.rtd", , "Mark", A20)</f>
        <v>76.38</v>
      </c>
    </row>
    <row r="21" spans="1:16" x14ac:dyDescent="0.25">
      <c r="A21" t="s">
        <v>35</v>
      </c>
      <c r="B21">
        <f>RTD("tos.rtd", , "Last", A21)</f>
        <v>10.61</v>
      </c>
      <c r="C21" t="str">
        <f>RTD("tos.rtd", , "STRENGTH_METER", A21)</f>
        <v>Range Bound</v>
      </c>
      <c r="D21" t="str">
        <f>RTD("tos.rtd", , "QUOTE_TREND", A21)</f>
        <v>instrument=AES</v>
      </c>
      <c r="E21">
        <f>RTD("tos.rtd", , "NET_CHANGE", A21)</f>
        <v>-0.16</v>
      </c>
      <c r="F21">
        <f>RTD("tos.rtd", , "BID", A21)</f>
        <v>10.5</v>
      </c>
      <c r="G21">
        <f>RTD("tos.rtd", , "ASK", A21)</f>
        <v>10.86</v>
      </c>
      <c r="H21">
        <f>RTD("tos.rtd", , "BID_SIZE", A21)</f>
        <v>1</v>
      </c>
      <c r="I21">
        <f>RTD("tos.rtd", , "ASK_SIZE", A21)</f>
        <v>1</v>
      </c>
      <c r="J21">
        <f>RTD("tos.rtd", , "VOLUME", A21)</f>
        <v>7563628</v>
      </c>
      <c r="K21">
        <f>RTD("tos.rtd", , "OPEN", A21)</f>
        <v>10.77</v>
      </c>
      <c r="L21">
        <f>RTD("tos.rtd", , "HIGH",A21)</f>
        <v>10.79</v>
      </c>
      <c r="M21">
        <f>RTD("tos.rtd", , "LOW", A21)</f>
        <v>10.6</v>
      </c>
      <c r="N21">
        <f>RTD("tos.rtd", , "52HIGH", A21)</f>
        <v>12.47</v>
      </c>
      <c r="O21">
        <f>RTD("tos.rtd", , "52LOW", A21)</f>
        <v>10</v>
      </c>
      <c r="P21">
        <f>RTD("tos.rtd", , "Mark", A21)</f>
        <v>10.61</v>
      </c>
    </row>
    <row r="22" spans="1:16" x14ac:dyDescent="0.25">
      <c r="A22" t="s">
        <v>36</v>
      </c>
      <c r="B22">
        <f>RTD("tos.rtd", , "Last", A22)</f>
        <v>173.2</v>
      </c>
      <c r="C22" t="str">
        <f>RTD("tos.rtd", , "STRENGTH_METER", A22)</f>
        <v>Range Bound</v>
      </c>
      <c r="D22" t="str">
        <f>RTD("tos.rtd", , "QUOTE_TREND", A22)</f>
        <v>instrument=AET</v>
      </c>
      <c r="E22">
        <f>RTD("tos.rtd", , "NET_CHANGE", A22)</f>
        <v>-1.56</v>
      </c>
      <c r="F22">
        <f>RTD("tos.rtd", , "BID", A22)</f>
        <v>161</v>
      </c>
      <c r="G22">
        <f>RTD("tos.rtd", , "ASK", A22)</f>
        <v>175</v>
      </c>
      <c r="H22">
        <f>RTD("tos.rtd", , "BID_SIZE", A22)</f>
        <v>6</v>
      </c>
      <c r="I22">
        <f>RTD("tos.rtd", , "ASK_SIZE", A22)</f>
        <v>1</v>
      </c>
      <c r="J22">
        <f>RTD("tos.rtd", , "VOLUME", A22)</f>
        <v>1753130</v>
      </c>
      <c r="K22">
        <f>RTD("tos.rtd", , "OPEN", A22)</f>
        <v>174.3</v>
      </c>
      <c r="L22">
        <f>RTD("tos.rtd", , "HIGH",A22)</f>
        <v>175.3</v>
      </c>
      <c r="M22">
        <f>RTD("tos.rtd", , "LOW", A22)</f>
        <v>172.99</v>
      </c>
      <c r="N22">
        <f>RTD("tos.rtd", , "52HIGH", A22)</f>
        <v>184.98</v>
      </c>
      <c r="O22">
        <f>RTD("tos.rtd", , "52LOW", A22)</f>
        <v>116.04</v>
      </c>
      <c r="P22">
        <f>RTD("tos.rtd", , "Mark", A22)</f>
        <v>173.2</v>
      </c>
    </row>
    <row r="23" spans="1:16" x14ac:dyDescent="0.25">
      <c r="A23" t="s">
        <v>37</v>
      </c>
      <c r="B23">
        <f>RTD("tos.rtd", , "Last", A23)</f>
        <v>83.85</v>
      </c>
      <c r="C23" t="str">
        <f>RTD("tos.rtd", , "STRENGTH_METER", A23)</f>
        <v>Range Bound</v>
      </c>
      <c r="D23" t="str">
        <f>RTD("tos.rtd", , "QUOTE_TREND", A23)</f>
        <v>instrument=AFL</v>
      </c>
      <c r="E23">
        <f>RTD("tos.rtd", , "NET_CHANGE", A23)</f>
        <v>-0.46</v>
      </c>
      <c r="F23">
        <f>RTD("tos.rtd", , "BID", A23)</f>
        <v>83.82</v>
      </c>
      <c r="G23">
        <f>RTD("tos.rtd", , "ASK", A23)</f>
        <v>85.25</v>
      </c>
      <c r="H23">
        <f>RTD("tos.rtd", , "BID_SIZE", A23)</f>
        <v>1</v>
      </c>
      <c r="I23">
        <f>RTD("tos.rtd", , "ASK_SIZE", A23)</f>
        <v>2</v>
      </c>
      <c r="J23">
        <f>RTD("tos.rtd", , "VOLUME", A23)</f>
        <v>1476794</v>
      </c>
      <c r="K23">
        <f>RTD("tos.rtd", , "OPEN", A23)</f>
        <v>83.98</v>
      </c>
      <c r="L23">
        <f>RTD("tos.rtd", , "HIGH",A23)</f>
        <v>84.15</v>
      </c>
      <c r="M23">
        <f>RTD("tos.rtd", , "LOW", A23)</f>
        <v>83.26</v>
      </c>
      <c r="N23">
        <f>RTD("tos.rtd", , "52HIGH", A23)</f>
        <v>85.7</v>
      </c>
      <c r="O23">
        <f>RTD("tos.rtd", , "52LOW", A23)</f>
        <v>66.5</v>
      </c>
      <c r="P23">
        <f>RTD("tos.rtd", , "Mark", A23)</f>
        <v>83.85</v>
      </c>
    </row>
    <row r="24" spans="1:16" x14ac:dyDescent="0.25">
      <c r="A24" t="s">
        <v>38</v>
      </c>
      <c r="B24">
        <f>RTD("tos.rtd", , "Last", A24)</f>
        <v>174.88</v>
      </c>
      <c r="C24" t="str">
        <f>RTD("tos.rtd", , "STRENGTH_METER", A24)</f>
        <v>Range Bound</v>
      </c>
      <c r="D24" t="str">
        <f>RTD("tos.rtd", , "QUOTE_TREND", A24)</f>
        <v>instrument=AGN</v>
      </c>
      <c r="E24">
        <f>RTD("tos.rtd", , "NET_CHANGE", A24)</f>
        <v>7.0000000000000007E-2</v>
      </c>
      <c r="F24">
        <f>RTD("tos.rtd", , "BID", A24)</f>
        <v>174.83</v>
      </c>
      <c r="G24">
        <f>RTD("tos.rtd", , "ASK", A24)</f>
        <v>175.07</v>
      </c>
      <c r="H24">
        <f>RTD("tos.rtd", , "BID_SIZE", A24)</f>
        <v>1</v>
      </c>
      <c r="I24">
        <f>RTD("tos.rtd", , "ASK_SIZE", A24)</f>
        <v>1</v>
      </c>
      <c r="J24">
        <f>RTD("tos.rtd", , "VOLUME", A24)</f>
        <v>2802615</v>
      </c>
      <c r="K24">
        <f>RTD("tos.rtd", , "OPEN", A24)</f>
        <v>174</v>
      </c>
      <c r="L24">
        <f>RTD("tos.rtd", , "HIGH",A24)</f>
        <v>176.24</v>
      </c>
      <c r="M24">
        <f>RTD("tos.rtd", , "LOW", A24)</f>
        <v>172.85</v>
      </c>
      <c r="N24">
        <f>RTD("tos.rtd", , "52HIGH", A24)</f>
        <v>256.8</v>
      </c>
      <c r="O24">
        <f>RTD("tos.rtd", , "52LOW", A24)</f>
        <v>169.61</v>
      </c>
      <c r="P24">
        <f>RTD("tos.rtd", , "Mark", A24)</f>
        <v>174.88</v>
      </c>
    </row>
    <row r="25" spans="1:16" x14ac:dyDescent="0.25">
      <c r="A25" t="s">
        <v>39</v>
      </c>
      <c r="B25">
        <f>RTD("tos.rtd", , "Last", A25)</f>
        <v>60.06</v>
      </c>
      <c r="C25" t="str">
        <f>RTD("tos.rtd", , "STRENGTH_METER", A25)</f>
        <v>Range Bound</v>
      </c>
      <c r="D25" t="str">
        <f>RTD("tos.rtd", , "QUOTE_TREND", A25)</f>
        <v>instrument=AIG</v>
      </c>
      <c r="E25">
        <f>RTD("tos.rtd", , "NET_CHANGE", A25)</f>
        <v>0</v>
      </c>
      <c r="F25">
        <f>RTD("tos.rtd", , "BID", A25)</f>
        <v>59.98</v>
      </c>
      <c r="G25">
        <f>RTD("tos.rtd", , "ASK", A25)</f>
        <v>60.02</v>
      </c>
      <c r="H25">
        <f>RTD("tos.rtd", , "BID_SIZE", A25)</f>
        <v>60</v>
      </c>
      <c r="I25">
        <f>RTD("tos.rtd", , "ASK_SIZE", A25)</f>
        <v>6</v>
      </c>
      <c r="J25">
        <f>RTD("tos.rtd", , "VOLUME", A25)</f>
        <v>5557309</v>
      </c>
      <c r="K25">
        <f>RTD("tos.rtd", , "OPEN", A25)</f>
        <v>59.78</v>
      </c>
      <c r="L25">
        <f>RTD("tos.rtd", , "HIGH",A25)</f>
        <v>60.15</v>
      </c>
      <c r="M25">
        <f>RTD("tos.rtd", , "LOW", A25)</f>
        <v>59.411000000000001</v>
      </c>
      <c r="N25">
        <f>RTD("tos.rtd", , "52HIGH", A25)</f>
        <v>67.47</v>
      </c>
      <c r="O25">
        <f>RTD("tos.rtd", , "52LOW", A25)</f>
        <v>57.9</v>
      </c>
      <c r="P25">
        <f>RTD("tos.rtd", , "Mark", A25)</f>
        <v>60.02</v>
      </c>
    </row>
    <row r="26" spans="1:16" x14ac:dyDescent="0.25">
      <c r="A26" t="s">
        <v>40</v>
      </c>
      <c r="B26">
        <f>RTD("tos.rtd", , "Last", A26)</f>
        <v>44.19</v>
      </c>
      <c r="C26" t="str">
        <f>RTD("tos.rtd", , "STRENGTH_METER", A26)</f>
        <v>Range Bound</v>
      </c>
      <c r="D26" t="str">
        <f>RTD("tos.rtd", , "QUOTE_TREND", A26)</f>
        <v>instrument=AIV</v>
      </c>
      <c r="E26">
        <f>RTD("tos.rtd", , "NET_CHANGE", A26)</f>
        <v>-0.5</v>
      </c>
      <c r="F26">
        <f>RTD("tos.rtd", , "BID", A26)</f>
        <v>44.35</v>
      </c>
      <c r="G26">
        <f>RTD("tos.rtd", , "ASK", A26)</f>
        <v>46.19</v>
      </c>
      <c r="H26">
        <f>RTD("tos.rtd", , "BID_SIZE", A26)</f>
        <v>1</v>
      </c>
      <c r="I26">
        <f>RTD("tos.rtd", , "ASK_SIZE", A26)</f>
        <v>1</v>
      </c>
      <c r="J26">
        <f>RTD("tos.rtd", , "VOLUME", A26)</f>
        <v>3487016</v>
      </c>
      <c r="K26">
        <f>RTD("tos.rtd", , "OPEN", A26)</f>
        <v>44.52</v>
      </c>
      <c r="L26">
        <f>RTD("tos.rtd", , "HIGH",A26)</f>
        <v>44.75</v>
      </c>
      <c r="M26">
        <f>RTD("tos.rtd", , "LOW", A26)</f>
        <v>43.83</v>
      </c>
      <c r="N26">
        <f>RTD("tos.rtd", , "52HIGH", A26)</f>
        <v>46.854999999999997</v>
      </c>
      <c r="O26">
        <f>RTD("tos.rtd", , "52LOW", A26)</f>
        <v>39.659999999999997</v>
      </c>
      <c r="P26">
        <f>RTD("tos.rtd", , "Mark", A26)</f>
        <v>44.35</v>
      </c>
    </row>
    <row r="27" spans="1:16" x14ac:dyDescent="0.25">
      <c r="A27" t="s">
        <v>41</v>
      </c>
      <c r="B27">
        <f>RTD("tos.rtd", , "Last", A27)</f>
        <v>98.62</v>
      </c>
      <c r="C27" t="str">
        <f>RTD("tos.rtd", , "STRENGTH_METER", A27)</f>
        <v>Range Bound</v>
      </c>
      <c r="D27" t="str">
        <f>RTD("tos.rtd", , "QUOTE_TREND", A27)</f>
        <v>instrument=AIZ</v>
      </c>
      <c r="E27">
        <f>RTD("tos.rtd", , "NET_CHANGE", A27)</f>
        <v>1.1200000000000001</v>
      </c>
      <c r="F27">
        <f>RTD("tos.rtd", , "BID", A27)</f>
        <v>93.65</v>
      </c>
      <c r="G27">
        <f>RTD("tos.rtd", , "ASK", A27)</f>
        <v>98.73</v>
      </c>
      <c r="H27">
        <f>RTD("tos.rtd", , "BID_SIZE", A27)</f>
        <v>1</v>
      </c>
      <c r="I27">
        <f>RTD("tos.rtd", , "ASK_SIZE", A27)</f>
        <v>1</v>
      </c>
      <c r="J27">
        <f>RTD("tos.rtd", , "VOLUME", A27)</f>
        <v>386709</v>
      </c>
      <c r="K27">
        <f>RTD("tos.rtd", , "OPEN", A27)</f>
        <v>97.08</v>
      </c>
      <c r="L27">
        <f>RTD("tos.rtd", , "HIGH",A27)</f>
        <v>98.9</v>
      </c>
      <c r="M27">
        <f>RTD("tos.rtd", , "LOW", A27)</f>
        <v>96.96</v>
      </c>
      <c r="N27">
        <f>RTD("tos.rtd", , "52HIGH", A27)</f>
        <v>106.985</v>
      </c>
      <c r="O27">
        <f>RTD("tos.rtd", , "52LOW", A27)</f>
        <v>85.07</v>
      </c>
      <c r="P27">
        <f>RTD("tos.rtd", , "Mark", A27)</f>
        <v>98.62</v>
      </c>
    </row>
    <row r="28" spans="1:16" x14ac:dyDescent="0.25">
      <c r="A28" t="s">
        <v>42</v>
      </c>
      <c r="B28">
        <f>RTD("tos.rtd", , "Last", A28)</f>
        <v>55.44</v>
      </c>
      <c r="C28" t="str">
        <f>RTD("tos.rtd", , "STRENGTH_METER", A28)</f>
        <v>Range Bound</v>
      </c>
      <c r="D28" t="str">
        <f>RTD("tos.rtd", , "QUOTE_TREND", A28)</f>
        <v>instrument=AKAM</v>
      </c>
      <c r="E28">
        <f>RTD("tos.rtd", , "NET_CHANGE", A28)</f>
        <v>0.18</v>
      </c>
      <c r="F28">
        <f>RTD("tos.rtd", , "BID", A28)</f>
        <v>54.92</v>
      </c>
      <c r="G28">
        <f>RTD("tos.rtd", , "ASK", A28)</f>
        <v>56.09</v>
      </c>
      <c r="H28">
        <f>RTD("tos.rtd", , "BID_SIZE", A28)</f>
        <v>3</v>
      </c>
      <c r="I28">
        <f>RTD("tos.rtd", , "ASK_SIZE", A28)</f>
        <v>3</v>
      </c>
      <c r="J28">
        <f>RTD("tos.rtd", , "VOLUME", A28)</f>
        <v>3894176</v>
      </c>
      <c r="K28">
        <f>RTD("tos.rtd", , "OPEN", A28)</f>
        <v>55.37</v>
      </c>
      <c r="L28">
        <f>RTD("tos.rtd", , "HIGH",A28)</f>
        <v>55.56</v>
      </c>
      <c r="M28">
        <f>RTD("tos.rtd", , "LOW", A28)</f>
        <v>55.18</v>
      </c>
      <c r="N28">
        <f>RTD("tos.rtd", , "52HIGH", A28)</f>
        <v>71.64</v>
      </c>
      <c r="O28">
        <f>RTD("tos.rtd", , "52LOW", A28)</f>
        <v>44.65</v>
      </c>
      <c r="P28">
        <f>RTD("tos.rtd", , "Mark", A28)</f>
        <v>55.44</v>
      </c>
    </row>
    <row r="29" spans="1:16" x14ac:dyDescent="0.25">
      <c r="A29" t="s">
        <v>43</v>
      </c>
      <c r="B29">
        <f>RTD("tos.rtd", , "Last", A29)</f>
        <v>100.17</v>
      </c>
      <c r="C29" t="str">
        <f>RTD("tos.rtd", , "STRENGTH_METER", A29)</f>
        <v>Range Bound</v>
      </c>
      <c r="D29" t="str">
        <f>RTD("tos.rtd", , "QUOTE_TREND", A29)</f>
        <v>instrument=ALL</v>
      </c>
      <c r="E29">
        <f>RTD("tos.rtd", , "NET_CHANGE", A29)</f>
        <v>0.6</v>
      </c>
      <c r="F29">
        <f>RTD("tos.rtd", , "BID", A29)</f>
        <v>96.12</v>
      </c>
      <c r="G29">
        <f>RTD("tos.rtd", , "ASK", A29)</f>
        <v>105</v>
      </c>
      <c r="H29">
        <f>RTD("tos.rtd", , "BID_SIZE", A29)</f>
        <v>1</v>
      </c>
      <c r="I29">
        <f>RTD("tos.rtd", , "ASK_SIZE", A29)</f>
        <v>8</v>
      </c>
      <c r="J29">
        <f>RTD("tos.rtd", , "VOLUME", A29)</f>
        <v>2877819</v>
      </c>
      <c r="K29">
        <f>RTD("tos.rtd", , "OPEN", A29)</f>
        <v>99.05</v>
      </c>
      <c r="L29">
        <f>RTD("tos.rtd", , "HIGH",A29)</f>
        <v>100.43</v>
      </c>
      <c r="M29">
        <f>RTD("tos.rtd", , "LOW", A29)</f>
        <v>99.05</v>
      </c>
      <c r="N29">
        <f>RTD("tos.rtd", , "52HIGH", A29)</f>
        <v>101.12</v>
      </c>
      <c r="O29">
        <f>RTD("tos.rtd", , "52LOW", A29)</f>
        <v>69.040000000000006</v>
      </c>
      <c r="P29">
        <f>RTD("tos.rtd", , "Mark", A29)</f>
        <v>100.17</v>
      </c>
    </row>
    <row r="30" spans="1:16" x14ac:dyDescent="0.25">
      <c r="A30" t="s">
        <v>44</v>
      </c>
      <c r="B30">
        <f>RTD("tos.rtd", , "Last", A30)</f>
        <v>24.16</v>
      </c>
      <c r="C30" t="str">
        <f>RTD("tos.rtd", , "STRENGTH_METER", A30)</f>
        <v>N/A</v>
      </c>
      <c r="D30" t="str">
        <f>RTD("tos.rtd", , "QUOTE_TREND", A30)</f>
        <v>instrument=ALTR</v>
      </c>
      <c r="E30">
        <f>RTD("tos.rtd", , "NET_CHANGE", A30)</f>
        <v>0.22</v>
      </c>
      <c r="F30">
        <f>RTD("tos.rtd", , "BID", A30)</f>
        <v>24.03</v>
      </c>
      <c r="G30">
        <f>RTD("tos.rtd", , "ASK", A30)</f>
        <v>24.16</v>
      </c>
      <c r="H30">
        <f>RTD("tos.rtd", , "BID_SIZE", A30)</f>
        <v>2</v>
      </c>
      <c r="I30">
        <f>RTD("tos.rtd", , "ASK_SIZE", A30)</f>
        <v>1</v>
      </c>
      <c r="J30">
        <f>RTD("tos.rtd", , "VOLUME", A30)</f>
        <v>329609</v>
      </c>
      <c r="K30">
        <f>RTD("tos.rtd", , "OPEN", A30)</f>
        <v>23.94</v>
      </c>
      <c r="L30">
        <f>RTD("tos.rtd", , "HIGH",A30)</f>
        <v>24.33</v>
      </c>
      <c r="M30">
        <f>RTD("tos.rtd", , "LOW", A30)</f>
        <v>23.750800000000002</v>
      </c>
      <c r="N30">
        <f>RTD("tos.rtd", , "52HIGH", A30)</f>
        <v>23.998799999999999</v>
      </c>
      <c r="O30">
        <f>RTD("tos.rtd", , "52LOW", A30)</f>
        <v>16.55</v>
      </c>
      <c r="P30">
        <f>RTD("tos.rtd", , "Mark", A30)</f>
        <v>24.16</v>
      </c>
    </row>
    <row r="31" spans="1:16" x14ac:dyDescent="0.25">
      <c r="A31" t="s">
        <v>45</v>
      </c>
      <c r="B31">
        <f>RTD("tos.rtd", , "Last", A31)</f>
        <v>110.87</v>
      </c>
      <c r="C31" t="str">
        <f>RTD("tos.rtd", , "STRENGTH_METER", A31)</f>
        <v>Downtrend</v>
      </c>
      <c r="D31" t="str">
        <f>RTD("tos.rtd", , "QUOTE_TREND", A31)</f>
        <v>instrument=ALXN</v>
      </c>
      <c r="E31">
        <f>RTD("tos.rtd", , "NET_CHANGE", A31)</f>
        <v>0.54</v>
      </c>
      <c r="F31">
        <f>RTD("tos.rtd", , "BID", A31)</f>
        <v>110.76</v>
      </c>
      <c r="G31">
        <f>RTD("tos.rtd", , "ASK", A31)</f>
        <v>110.94</v>
      </c>
      <c r="H31">
        <f>RTD("tos.rtd", , "BID_SIZE", A31)</f>
        <v>1</v>
      </c>
      <c r="I31">
        <f>RTD("tos.rtd", , "ASK_SIZE", A31)</f>
        <v>2</v>
      </c>
      <c r="J31">
        <f>RTD("tos.rtd", , "VOLUME", A31)</f>
        <v>1940893</v>
      </c>
      <c r="K31">
        <f>RTD("tos.rtd", , "OPEN", A31)</f>
        <v>110.15</v>
      </c>
      <c r="L31">
        <f>RTD("tos.rtd", , "HIGH",A31)</f>
        <v>111.27</v>
      </c>
      <c r="M31">
        <f>RTD("tos.rtd", , "LOW", A31)</f>
        <v>109.61279999999999</v>
      </c>
      <c r="N31">
        <f>RTD("tos.rtd", , "52HIGH", A31)</f>
        <v>149.34</v>
      </c>
      <c r="O31">
        <f>RTD("tos.rtd", , "52LOW", A31)</f>
        <v>96.18</v>
      </c>
      <c r="P31">
        <f>RTD("tos.rtd", , "Mark", A31)</f>
        <v>110.87</v>
      </c>
    </row>
    <row r="32" spans="1:16" x14ac:dyDescent="0.25">
      <c r="A32" t="s">
        <v>46</v>
      </c>
      <c r="B32">
        <f>RTD("tos.rtd", , "Last", A32)</f>
        <v>56.49</v>
      </c>
      <c r="C32" t="str">
        <f>RTD("tos.rtd", , "STRENGTH_METER", A32)</f>
        <v>Range Bound</v>
      </c>
      <c r="D32" t="str">
        <f>RTD("tos.rtd", , "QUOTE_TREND", A32)</f>
        <v>instrument=AMAT</v>
      </c>
      <c r="E32">
        <f>RTD("tos.rtd", , "NET_CHANGE", A32)</f>
        <v>-1.35</v>
      </c>
      <c r="F32">
        <f>RTD("tos.rtd", , "BID", A32)</f>
        <v>56.5</v>
      </c>
      <c r="G32">
        <f>RTD("tos.rtd", , "ASK", A32)</f>
        <v>56.54</v>
      </c>
      <c r="H32">
        <f>RTD("tos.rtd", , "BID_SIZE", A32)</f>
        <v>3</v>
      </c>
      <c r="I32">
        <f>RTD("tos.rtd", , "ASK_SIZE", A32)</f>
        <v>51</v>
      </c>
      <c r="J32">
        <f>RTD("tos.rtd", , "VOLUME", A32)</f>
        <v>27296751</v>
      </c>
      <c r="K32">
        <f>RTD("tos.rtd", , "OPEN", A32)</f>
        <v>60.46</v>
      </c>
      <c r="L32">
        <f>RTD("tos.rtd", , "HIGH",A32)</f>
        <v>60.89</v>
      </c>
      <c r="M32">
        <f>RTD("tos.rtd", , "LOW", A32)</f>
        <v>56.085000000000001</v>
      </c>
      <c r="N32">
        <f>RTD("tos.rtd", , "52HIGH", A32)</f>
        <v>58</v>
      </c>
      <c r="O32">
        <f>RTD("tos.rtd", , "52LOW", A32)</f>
        <v>29.54</v>
      </c>
      <c r="P32">
        <f>RTD("tos.rtd", , "Mark", A32)</f>
        <v>56.5</v>
      </c>
    </row>
    <row r="33" spans="1:16" x14ac:dyDescent="0.25">
      <c r="A33" t="s">
        <v>47</v>
      </c>
      <c r="B33">
        <f>RTD("tos.rtd", , "Last", A33)</f>
        <v>11.38</v>
      </c>
      <c r="C33" t="str">
        <f>RTD("tos.rtd", , "STRENGTH_METER", A33)</f>
        <v>Range Bound</v>
      </c>
      <c r="D33" t="str">
        <f>RTD("tos.rtd", , "QUOTE_TREND", A33)</f>
        <v>instrument=AMD</v>
      </c>
      <c r="E33">
        <f>RTD("tos.rtd", , "NET_CHANGE", A33)</f>
        <v>0.13</v>
      </c>
      <c r="F33">
        <f>RTD("tos.rtd", , "BID", A33)</f>
        <v>11.35</v>
      </c>
      <c r="G33">
        <f>RTD("tos.rtd", , "ASK", A33)</f>
        <v>11.36</v>
      </c>
      <c r="H33">
        <f>RTD("tos.rtd", , "BID_SIZE", A33)</f>
        <v>52</v>
      </c>
      <c r="I33">
        <f>RTD("tos.rtd", , "ASK_SIZE", A33)</f>
        <v>43</v>
      </c>
      <c r="J33">
        <f>RTD("tos.rtd", , "VOLUME", A33)</f>
        <v>56567971</v>
      </c>
      <c r="K33">
        <f>RTD("tos.rtd", , "OPEN", A33)</f>
        <v>11.3</v>
      </c>
      <c r="L33">
        <f>RTD("tos.rtd", , "HIGH",A33)</f>
        <v>11.75</v>
      </c>
      <c r="M33">
        <f>RTD("tos.rtd", , "LOW", A33)</f>
        <v>11.28</v>
      </c>
      <c r="N33">
        <f>RTD("tos.rtd", , "52HIGH", A33)</f>
        <v>15.65</v>
      </c>
      <c r="O33">
        <f>RTD("tos.rtd", , "52LOW", A33)</f>
        <v>7.07</v>
      </c>
      <c r="P33">
        <f>RTD("tos.rtd", , "Mark", A33)</f>
        <v>11.36</v>
      </c>
    </row>
    <row r="34" spans="1:16" x14ac:dyDescent="0.25">
      <c r="A34" t="s">
        <v>48</v>
      </c>
      <c r="B34">
        <f>RTD("tos.rtd", , "Last", A34)</f>
        <v>170</v>
      </c>
      <c r="C34" t="str">
        <f>RTD("tos.rtd", , "STRENGTH_METER", A34)</f>
        <v>Range Bound</v>
      </c>
      <c r="D34" t="str">
        <f>RTD("tos.rtd", , "QUOTE_TREND", A34)</f>
        <v>instrument=AMGN</v>
      </c>
      <c r="E34">
        <f>RTD("tos.rtd", , "NET_CHANGE", A34)</f>
        <v>-0.77</v>
      </c>
      <c r="F34">
        <f>RTD("tos.rtd", , "BID", A34)</f>
        <v>169.9</v>
      </c>
      <c r="G34">
        <f>RTD("tos.rtd", , "ASK", A34)</f>
        <v>170.05</v>
      </c>
      <c r="H34">
        <f>RTD("tos.rtd", , "BID_SIZE", A34)</f>
        <v>5</v>
      </c>
      <c r="I34">
        <f>RTD("tos.rtd", , "ASK_SIZE", A34)</f>
        <v>5</v>
      </c>
      <c r="J34">
        <f>RTD("tos.rtd", , "VOLUME", A34)</f>
        <v>2011690</v>
      </c>
      <c r="K34">
        <f>RTD("tos.rtd", , "OPEN", A34)</f>
        <v>170.67</v>
      </c>
      <c r="L34">
        <f>RTD("tos.rtd", , "HIGH",A34)</f>
        <v>171.09</v>
      </c>
      <c r="M34">
        <f>RTD("tos.rtd", , "LOW", A34)</f>
        <v>169.54</v>
      </c>
      <c r="N34">
        <f>RTD("tos.rtd", , "52HIGH", A34)</f>
        <v>191.09989999999999</v>
      </c>
      <c r="O34">
        <f>RTD("tos.rtd", , "52LOW", A34)</f>
        <v>138.83000000000001</v>
      </c>
      <c r="P34">
        <f>RTD("tos.rtd", , "Mark", A34)</f>
        <v>170</v>
      </c>
    </row>
    <row r="35" spans="1:16" x14ac:dyDescent="0.25">
      <c r="A35" t="s">
        <v>49</v>
      </c>
      <c r="B35">
        <f>RTD("tos.rtd", , "Last", A35)</f>
        <v>158.28</v>
      </c>
      <c r="C35" t="str">
        <f>RTD("tos.rtd", , "STRENGTH_METER", A35)</f>
        <v>Range Bound</v>
      </c>
      <c r="D35" t="str">
        <f>RTD("tos.rtd", , "QUOTE_TREND", A35)</f>
        <v>instrument=AMP</v>
      </c>
      <c r="E35">
        <f>RTD("tos.rtd", , "NET_CHANGE", A35)</f>
        <v>1.2</v>
      </c>
      <c r="F35">
        <f>RTD("tos.rtd", , "BID", A35)</f>
        <v>139.16999999999999</v>
      </c>
      <c r="G35">
        <f>RTD("tos.rtd", , "ASK", A35)</f>
        <v>159.09</v>
      </c>
      <c r="H35">
        <f>RTD("tos.rtd", , "BID_SIZE", A35)</f>
        <v>1</v>
      </c>
      <c r="I35">
        <f>RTD("tos.rtd", , "ASK_SIZE", A35)</f>
        <v>1</v>
      </c>
      <c r="J35">
        <f>RTD("tos.rtd", , "VOLUME", A35)</f>
        <v>639498</v>
      </c>
      <c r="K35">
        <f>RTD("tos.rtd", , "OPEN", A35)</f>
        <v>156.56</v>
      </c>
      <c r="L35">
        <f>RTD("tos.rtd", , "HIGH",A35)</f>
        <v>158.84</v>
      </c>
      <c r="M35">
        <f>RTD("tos.rtd", , "LOW", A35)</f>
        <v>156.56</v>
      </c>
      <c r="N35">
        <f>RTD("tos.rtd", , "52HIGH", A35)</f>
        <v>163.04</v>
      </c>
      <c r="O35">
        <f>RTD("tos.rtd", , "52LOW", A35)</f>
        <v>109.19</v>
      </c>
      <c r="P35">
        <f>RTD("tos.rtd", , "Mark", A35)</f>
        <v>158.28</v>
      </c>
    </row>
    <row r="36" spans="1:16" x14ac:dyDescent="0.25">
      <c r="A36" t="s">
        <v>50</v>
      </c>
      <c r="B36">
        <f>RTD("tos.rtd", , "Last", A36)</f>
        <v>145.87</v>
      </c>
      <c r="C36" t="str">
        <f>RTD("tos.rtd", , "STRENGTH_METER", A36)</f>
        <v>Range Bound</v>
      </c>
      <c r="D36" t="str">
        <f>RTD("tos.rtd", , "QUOTE_TREND", A36)</f>
        <v>instrument=AMT</v>
      </c>
      <c r="E36">
        <f>RTD("tos.rtd", , "NET_CHANGE", A36)</f>
        <v>-2.5299999999999998</v>
      </c>
      <c r="F36">
        <f>RTD("tos.rtd", , "BID", A36)</f>
        <v>145.5</v>
      </c>
      <c r="G36">
        <f>RTD("tos.rtd", , "ASK", A36)</f>
        <v>146.01</v>
      </c>
      <c r="H36">
        <f>RTD("tos.rtd", , "BID_SIZE", A36)</f>
        <v>1</v>
      </c>
      <c r="I36">
        <f>RTD("tos.rtd", , "ASK_SIZE", A36)</f>
        <v>1</v>
      </c>
      <c r="J36">
        <f>RTD("tos.rtd", , "VOLUME", A36)</f>
        <v>2053879</v>
      </c>
      <c r="K36">
        <f>RTD("tos.rtd", , "OPEN", A36)</f>
        <v>147.97</v>
      </c>
      <c r="L36">
        <f>RTD("tos.rtd", , "HIGH",A36)</f>
        <v>148.85</v>
      </c>
      <c r="M36">
        <f>RTD("tos.rtd", , "LOW", A36)</f>
        <v>145.57</v>
      </c>
      <c r="N36">
        <f>RTD("tos.rtd", , "52HIGH", A36)</f>
        <v>155.28</v>
      </c>
      <c r="O36">
        <f>RTD("tos.rtd", , "52LOW", A36)</f>
        <v>99.72</v>
      </c>
      <c r="P36">
        <f>RTD("tos.rtd", , "Mark", A36)</f>
        <v>145.87</v>
      </c>
    </row>
    <row r="37" spans="1:16" x14ac:dyDescent="0.25">
      <c r="A37" t="s">
        <v>51</v>
      </c>
      <c r="B37">
        <f>RTD("tos.rtd", , "Last", A37)</f>
        <v>1129.8800000000001</v>
      </c>
      <c r="C37" t="str">
        <f>RTD("tos.rtd", , "STRENGTH_METER", A37)</f>
        <v>Uptrend</v>
      </c>
      <c r="D37" t="str">
        <f>RTD("tos.rtd", , "QUOTE_TREND", A37)</f>
        <v>instrument=AMZN</v>
      </c>
      <c r="E37">
        <f>RTD("tos.rtd", , "NET_CHANGE", A37)</f>
        <v>-7.41</v>
      </c>
      <c r="F37">
        <f>RTD("tos.rtd", , "BID", A37)</f>
        <v>1129</v>
      </c>
      <c r="G37">
        <f>RTD("tos.rtd", , "ASK", A37)</f>
        <v>1129.3699999999999</v>
      </c>
      <c r="H37">
        <f>RTD("tos.rtd", , "BID_SIZE", A37)</f>
        <v>1</v>
      </c>
      <c r="I37">
        <f>RTD("tos.rtd", , "ASK_SIZE", A37)</f>
        <v>1</v>
      </c>
      <c r="J37">
        <f>RTD("tos.rtd", , "VOLUME", A37)</f>
        <v>2342214</v>
      </c>
      <c r="K37">
        <f>RTD("tos.rtd", , "OPEN", A37)</f>
        <v>1138.28</v>
      </c>
      <c r="L37">
        <f>RTD("tos.rtd", , "HIGH",A37)</f>
        <v>1138.8</v>
      </c>
      <c r="M37">
        <f>RTD("tos.rtd", , "LOW", A37)</f>
        <v>1125.8100999999999</v>
      </c>
      <c r="N37">
        <f>RTD("tos.rtd", , "52HIGH", A37)</f>
        <v>1139.9000000000001</v>
      </c>
      <c r="O37">
        <f>RTD("tos.rtd", , "52LOW", A37)</f>
        <v>735.61</v>
      </c>
      <c r="P37">
        <f>RTD("tos.rtd", , "Mark", A37)</f>
        <v>1129.3699999999999</v>
      </c>
    </row>
    <row r="38" spans="1:16" x14ac:dyDescent="0.25">
      <c r="A38" t="s">
        <v>52</v>
      </c>
      <c r="B38">
        <f>RTD("tos.rtd", , "Last", A38)</f>
        <v>51.72</v>
      </c>
      <c r="C38" t="str">
        <f>RTD("tos.rtd", , "STRENGTH_METER", A38)</f>
        <v>Uptrend</v>
      </c>
      <c r="D38" t="str">
        <f>RTD("tos.rtd", , "QUOTE_TREND", A38)</f>
        <v>instrument=AN</v>
      </c>
      <c r="E38">
        <f>RTD("tos.rtd", , "NET_CHANGE", A38)</f>
        <v>-0.34</v>
      </c>
      <c r="F38">
        <f>RTD("tos.rtd", , "BID", A38)</f>
        <v>48.73</v>
      </c>
      <c r="G38">
        <f>RTD("tos.rtd", , "ASK", A38)</f>
        <v>54.4</v>
      </c>
      <c r="H38">
        <f>RTD("tos.rtd", , "BID_SIZE", A38)</f>
        <v>1</v>
      </c>
      <c r="I38">
        <f>RTD("tos.rtd", , "ASK_SIZE", A38)</f>
        <v>1</v>
      </c>
      <c r="J38">
        <f>RTD("tos.rtd", , "VOLUME", A38)</f>
        <v>1056788</v>
      </c>
      <c r="K38">
        <f>RTD("tos.rtd", , "OPEN", A38)</f>
        <v>52.17</v>
      </c>
      <c r="L38">
        <f>RTD("tos.rtd", , "HIGH",A38)</f>
        <v>52.74</v>
      </c>
      <c r="M38">
        <f>RTD("tos.rtd", , "LOW", A38)</f>
        <v>51.68</v>
      </c>
      <c r="N38">
        <f>RTD("tos.rtd", , "52HIGH", A38)</f>
        <v>55.77</v>
      </c>
      <c r="O38">
        <f>RTD("tos.rtd", , "52LOW", A38)</f>
        <v>38.200000000000003</v>
      </c>
      <c r="P38">
        <f>RTD("tos.rtd", , "Mark", A38)</f>
        <v>51.72</v>
      </c>
    </row>
    <row r="39" spans="1:16" x14ac:dyDescent="0.25">
      <c r="A39" t="s">
        <v>53</v>
      </c>
      <c r="B39">
        <f>RTD("tos.rtd", , "Last", A39)</f>
        <v>15.55</v>
      </c>
      <c r="C39" t="str">
        <f>RTD("tos.rtd", , "STRENGTH_METER", A39)</f>
        <v>Range Bound</v>
      </c>
      <c r="D39" t="str">
        <f>RTD("tos.rtd", , "QUOTE_TREND", A39)</f>
        <v>instrument=ANF</v>
      </c>
      <c r="E39">
        <f>RTD("tos.rtd", , "NET_CHANGE", A39)</f>
        <v>3</v>
      </c>
      <c r="F39">
        <f>RTD("tos.rtd", , "BID", A39)</f>
        <v>15.54</v>
      </c>
      <c r="G39">
        <f>RTD("tos.rtd", , "ASK", A39)</f>
        <v>15.65</v>
      </c>
      <c r="H39">
        <f>RTD("tos.rtd", , "BID_SIZE", A39)</f>
        <v>2</v>
      </c>
      <c r="I39">
        <f>RTD("tos.rtd", , "ASK_SIZE", A39)</f>
        <v>1</v>
      </c>
      <c r="J39">
        <f>RTD("tos.rtd", , "VOLUME", A39)</f>
        <v>18413470</v>
      </c>
      <c r="K39">
        <f>RTD("tos.rtd", , "OPEN", A39)</f>
        <v>15.58</v>
      </c>
      <c r="L39">
        <f>RTD("tos.rtd", , "HIGH",A39)</f>
        <v>16.190000000000001</v>
      </c>
      <c r="M39">
        <f>RTD("tos.rtd", , "LOW", A39)</f>
        <v>14.71</v>
      </c>
      <c r="N39">
        <f>RTD("tos.rtd", , "52HIGH", A39)</f>
        <v>16.989999999999998</v>
      </c>
      <c r="O39">
        <f>RTD("tos.rtd", , "52LOW", A39)</f>
        <v>8.81</v>
      </c>
      <c r="P39">
        <f>RTD("tos.rtd", , "Mark", A39)</f>
        <v>15.55</v>
      </c>
    </row>
    <row r="40" spans="1:16" x14ac:dyDescent="0.25">
      <c r="A40" t="s">
        <v>54</v>
      </c>
      <c r="B40">
        <f>RTD("tos.rtd", , "Last", A40)</f>
        <v>141.18</v>
      </c>
      <c r="C40" t="str">
        <f>RTD("tos.rtd", , "STRENGTH_METER", A40)</f>
        <v>Range Bound</v>
      </c>
      <c r="D40" t="str">
        <f>RTD("tos.rtd", , "QUOTE_TREND", A40)</f>
        <v>instrument=AON</v>
      </c>
      <c r="E40">
        <f>RTD("tos.rtd", , "NET_CHANGE", A40)</f>
        <v>-0.1</v>
      </c>
      <c r="F40">
        <f>RTD("tos.rtd", , "BID", A40)</f>
        <v>141.19</v>
      </c>
      <c r="G40">
        <f>RTD("tos.rtd", , "ASK", A40)</f>
        <v>145.63999999999999</v>
      </c>
      <c r="H40">
        <f>RTD("tos.rtd", , "BID_SIZE", A40)</f>
        <v>0</v>
      </c>
      <c r="I40">
        <f>RTD("tos.rtd", , "ASK_SIZE", A40)</f>
        <v>2</v>
      </c>
      <c r="J40">
        <f>RTD("tos.rtd", , "VOLUME", A40)</f>
        <v>912114</v>
      </c>
      <c r="K40">
        <f>RTD("tos.rtd", , "OPEN", A40)</f>
        <v>140.78</v>
      </c>
      <c r="L40">
        <f>RTD("tos.rtd", , "HIGH",A40)</f>
        <v>141.48990000000001</v>
      </c>
      <c r="M40">
        <f>RTD("tos.rtd", , "LOW", A40)</f>
        <v>140.09</v>
      </c>
      <c r="N40">
        <f>RTD("tos.rtd", , "52HIGH", A40)</f>
        <v>152.78</v>
      </c>
      <c r="O40">
        <f>RTD("tos.rtd", , "52LOW", A40)</f>
        <v>109.5</v>
      </c>
      <c r="P40">
        <f>RTD("tos.rtd", , "Mark", A40)</f>
        <v>141.19</v>
      </c>
    </row>
    <row r="41" spans="1:16" x14ac:dyDescent="0.25">
      <c r="A41" t="s">
        <v>55</v>
      </c>
      <c r="B41">
        <f>RTD("tos.rtd", , "Last", A41)</f>
        <v>41.18</v>
      </c>
      <c r="C41" t="str">
        <f>RTD("tos.rtd", , "STRENGTH_METER", A41)</f>
        <v>Range Bound</v>
      </c>
      <c r="D41" t="str">
        <f>RTD("tos.rtd", , "QUOTE_TREND", A41)</f>
        <v>instrument=APA</v>
      </c>
      <c r="E41">
        <f>RTD("tos.rtd", , "NET_CHANGE", A41)</f>
        <v>0.69</v>
      </c>
      <c r="F41">
        <f>RTD("tos.rtd", , "BID", A41)</f>
        <v>40.81</v>
      </c>
      <c r="G41">
        <f>RTD("tos.rtd", , "ASK", A41)</f>
        <v>41.19</v>
      </c>
      <c r="H41">
        <f>RTD("tos.rtd", , "BID_SIZE", A41)</f>
        <v>5</v>
      </c>
      <c r="I41">
        <f>RTD("tos.rtd", , "ASK_SIZE", A41)</f>
        <v>6</v>
      </c>
      <c r="J41">
        <f>RTD("tos.rtd", , "VOLUME", A41)</f>
        <v>2110950</v>
      </c>
      <c r="K41">
        <f>RTD("tos.rtd", , "OPEN", A41)</f>
        <v>40.85</v>
      </c>
      <c r="L41">
        <f>RTD("tos.rtd", , "HIGH",A41)</f>
        <v>41.36</v>
      </c>
      <c r="M41">
        <f>RTD("tos.rtd", , "LOW", A41)</f>
        <v>40.659999999999997</v>
      </c>
      <c r="N41">
        <f>RTD("tos.rtd", , "52HIGH", A41)</f>
        <v>69</v>
      </c>
      <c r="O41">
        <f>RTD("tos.rtd", , "52LOW", A41)</f>
        <v>38.14</v>
      </c>
      <c r="P41">
        <f>RTD("tos.rtd", , "Mark", A41)</f>
        <v>41.18</v>
      </c>
    </row>
    <row r="42" spans="1:16" x14ac:dyDescent="0.25">
      <c r="A42" t="s">
        <v>56</v>
      </c>
      <c r="B42">
        <f>RTD("tos.rtd", , "Last", A42)</f>
        <v>48.15</v>
      </c>
      <c r="C42" t="str">
        <f>RTD("tos.rtd", , "STRENGTH_METER", A42)</f>
        <v>Range Bound</v>
      </c>
      <c r="D42" t="str">
        <f>RTD("tos.rtd", , "QUOTE_TREND", A42)</f>
        <v>instrument=APC</v>
      </c>
      <c r="E42">
        <f>RTD("tos.rtd", , "NET_CHANGE", A42)</f>
        <v>0.65</v>
      </c>
      <c r="F42">
        <f>RTD("tos.rtd", , "BID", A42)</f>
        <v>47.96</v>
      </c>
      <c r="G42">
        <f>RTD("tos.rtd", , "ASK", A42)</f>
        <v>48.19</v>
      </c>
      <c r="H42">
        <f>RTD("tos.rtd", , "BID_SIZE", A42)</f>
        <v>3</v>
      </c>
      <c r="I42">
        <f>RTD("tos.rtd", , "ASK_SIZE", A42)</f>
        <v>3</v>
      </c>
      <c r="J42">
        <f>RTD("tos.rtd", , "VOLUME", A42)</f>
        <v>6091098</v>
      </c>
      <c r="K42">
        <f>RTD("tos.rtd", , "OPEN", A42)</f>
        <v>47.89</v>
      </c>
      <c r="L42">
        <f>RTD("tos.rtd", , "HIGH",A42)</f>
        <v>48.33</v>
      </c>
      <c r="M42">
        <f>RTD("tos.rtd", , "LOW", A42)</f>
        <v>47.734999999999999</v>
      </c>
      <c r="N42">
        <f>RTD("tos.rtd", , "52HIGH", A42)</f>
        <v>73.33</v>
      </c>
      <c r="O42">
        <f>RTD("tos.rtd", , "52LOW", A42)</f>
        <v>39.96</v>
      </c>
      <c r="P42">
        <f>RTD("tos.rtd", , "Mark", A42)</f>
        <v>48.15</v>
      </c>
    </row>
    <row r="43" spans="1:16" x14ac:dyDescent="0.25">
      <c r="A43" t="s">
        <v>57</v>
      </c>
      <c r="B43">
        <f>RTD("tos.rtd", , "Last", A43)</f>
        <v>161.58000000000001</v>
      </c>
      <c r="C43" t="str">
        <f>RTD("tos.rtd", , "STRENGTH_METER", A43)</f>
        <v>Range Bound</v>
      </c>
      <c r="D43" t="str">
        <f>RTD("tos.rtd", , "QUOTE_TREND", A43)</f>
        <v>instrument=APD</v>
      </c>
      <c r="E43">
        <f>RTD("tos.rtd", , "NET_CHANGE", A43)</f>
        <v>0.4</v>
      </c>
      <c r="F43">
        <f>RTD("tos.rtd", , "BID", A43)</f>
        <v>159.78</v>
      </c>
      <c r="G43">
        <f>RTD("tos.rtd", , "ASK", A43)</f>
        <v>170.58</v>
      </c>
      <c r="H43">
        <f>RTD("tos.rtd", , "BID_SIZE", A43)</f>
        <v>1</v>
      </c>
      <c r="I43">
        <f>RTD("tos.rtd", , "ASK_SIZE", A43)</f>
        <v>0</v>
      </c>
      <c r="J43">
        <f>RTD("tos.rtd", , "VOLUME", A43)</f>
        <v>922188</v>
      </c>
      <c r="K43">
        <f>RTD("tos.rtd", , "OPEN", A43)</f>
        <v>160.83000000000001</v>
      </c>
      <c r="L43">
        <f>RTD("tos.rtd", , "HIGH",A43)</f>
        <v>162.37</v>
      </c>
      <c r="M43">
        <f>RTD("tos.rtd", , "LOW", A43)</f>
        <v>160.35</v>
      </c>
      <c r="N43">
        <f>RTD("tos.rtd", , "52HIGH", A43)</f>
        <v>163.56</v>
      </c>
      <c r="O43">
        <f>RTD("tos.rtd", , "52LOW", A43)</f>
        <v>133.6301</v>
      </c>
      <c r="P43">
        <f>RTD("tos.rtd", , "Mark", A43)</f>
        <v>161.58000000000001</v>
      </c>
    </row>
    <row r="44" spans="1:16" x14ac:dyDescent="0.25">
      <c r="A44" t="s">
        <v>58</v>
      </c>
      <c r="B44">
        <f>RTD("tos.rtd", , "Last", A44)</f>
        <v>89.52</v>
      </c>
      <c r="C44" t="str">
        <f>RTD("tos.rtd", , "STRENGTH_METER", A44)</f>
        <v>Range Bound</v>
      </c>
      <c r="D44" t="str">
        <f>RTD("tos.rtd", , "QUOTE_TREND", A44)</f>
        <v>instrument=APH</v>
      </c>
      <c r="E44">
        <f>RTD("tos.rtd", , "NET_CHANGE", A44)</f>
        <v>0.21</v>
      </c>
      <c r="F44">
        <f>RTD("tos.rtd", , "BID", A44)</f>
        <v>81.099999999999994</v>
      </c>
      <c r="G44">
        <f>RTD("tos.rtd", , "ASK", A44)</f>
        <v>101</v>
      </c>
      <c r="H44">
        <f>RTD("tos.rtd", , "BID_SIZE", A44)</f>
        <v>1</v>
      </c>
      <c r="I44">
        <f>RTD("tos.rtd", , "ASK_SIZE", A44)</f>
        <v>1</v>
      </c>
      <c r="J44">
        <f>RTD("tos.rtd", , "VOLUME", A44)</f>
        <v>1051077</v>
      </c>
      <c r="K44">
        <f>RTD("tos.rtd", , "OPEN", A44)</f>
        <v>89.11</v>
      </c>
      <c r="L44">
        <f>RTD("tos.rtd", , "HIGH",A44)</f>
        <v>89.724999999999994</v>
      </c>
      <c r="M44">
        <f>RTD("tos.rtd", , "LOW", A44)</f>
        <v>88.909599999999998</v>
      </c>
      <c r="N44">
        <f>RTD("tos.rtd", , "52HIGH", A44)</f>
        <v>89.69</v>
      </c>
      <c r="O44">
        <f>RTD("tos.rtd", , "52LOW", A44)</f>
        <v>66</v>
      </c>
      <c r="P44">
        <f>RTD("tos.rtd", , "Mark", A44)</f>
        <v>89.52</v>
      </c>
    </row>
    <row r="45" spans="1:16" x14ac:dyDescent="0.25">
      <c r="A45" t="s">
        <v>59</v>
      </c>
      <c r="B45">
        <f>RTD("tos.rtd", , "Last", A45)</f>
        <v>0</v>
      </c>
      <c r="C45" t="str">
        <f>RTD("tos.rtd", , "STRENGTH_METER", A45)</f>
        <v>N/A</v>
      </c>
      <c r="D45" t="str">
        <f>RTD("tos.rtd", , "QUOTE_TREND", A45)</f>
        <v>instrument=APOL</v>
      </c>
      <c r="E45">
        <f>RTD("tos.rtd", , "NET_CHANGE", A45)</f>
        <v>0</v>
      </c>
      <c r="F45">
        <f>RTD("tos.rtd", , "BID", A45)</f>
        <v>9.99</v>
      </c>
      <c r="G45">
        <f>RTD("tos.rtd", , "ASK", A45)</f>
        <v>10</v>
      </c>
      <c r="H45">
        <f>RTD("tos.rtd", , "BID_SIZE", A45)</f>
        <v>0</v>
      </c>
      <c r="I45">
        <f>RTD("tos.rtd", , "ASK_SIZE", A45)</f>
        <v>0</v>
      </c>
      <c r="J45">
        <f>RTD("tos.rtd", , "VOLUME", A45)</f>
        <v>0</v>
      </c>
      <c r="K45">
        <f>RTD("tos.rtd", , "OPEN", A45)</f>
        <v>0</v>
      </c>
      <c r="L45">
        <f>RTD("tos.rtd", , "HIGH",A45)</f>
        <v>0</v>
      </c>
      <c r="M45">
        <f>RTD("tos.rtd", , "LOW", A45)</f>
        <v>0</v>
      </c>
      <c r="N45" t="str">
        <f>RTD("tos.rtd", , "52HIGH", A45)</f>
        <v>N/A</v>
      </c>
      <c r="O45" t="str">
        <f>RTD("tos.rtd", , "52LOW", A45)</f>
        <v>N/A</v>
      </c>
      <c r="P45">
        <f>RTD("tos.rtd", , "Mark", A45)</f>
        <v>9.99</v>
      </c>
    </row>
    <row r="46" spans="1:16" x14ac:dyDescent="0.25">
      <c r="A46" t="s">
        <v>60</v>
      </c>
      <c r="B46">
        <f>RTD("tos.rtd", , "Last", A46)</f>
        <v>0</v>
      </c>
      <c r="C46" t="str">
        <f>RTD("tos.rtd", , "STRENGTH_METER", A46)</f>
        <v>Downtrend</v>
      </c>
      <c r="D46" t="str">
        <f>RTD("tos.rtd", , "QUOTE_TREND", A46)</f>
        <v>instrument=ARG</v>
      </c>
      <c r="E46">
        <f>RTD("tos.rtd", , "NET_CHANGE", A46)</f>
        <v>0</v>
      </c>
      <c r="F46">
        <f>RTD("tos.rtd", , "BID", A46)</f>
        <v>142.96</v>
      </c>
      <c r="G46">
        <f>RTD("tos.rtd", , "ASK", A46)</f>
        <v>142.97999999999999</v>
      </c>
      <c r="H46">
        <f>RTD("tos.rtd", , "BID_SIZE", A46)</f>
        <v>0</v>
      </c>
      <c r="I46">
        <f>RTD("tos.rtd", , "ASK_SIZE", A46)</f>
        <v>0</v>
      </c>
      <c r="J46">
        <f>RTD("tos.rtd", , "VOLUME", A46)</f>
        <v>0</v>
      </c>
      <c r="K46">
        <f>RTD("tos.rtd", , "OPEN", A46)</f>
        <v>0</v>
      </c>
      <c r="L46">
        <f>RTD("tos.rtd", , "HIGH",A46)</f>
        <v>0</v>
      </c>
      <c r="M46">
        <f>RTD("tos.rtd", , "LOW", A46)</f>
        <v>0</v>
      </c>
      <c r="N46">
        <f>RTD("tos.rtd", , "52HIGH", A46)</f>
        <v>143.05000000000001</v>
      </c>
      <c r="O46">
        <f>RTD("tos.rtd", , "52LOW", A46)</f>
        <v>86.09</v>
      </c>
      <c r="P46">
        <f>RTD("tos.rtd", , "Mark", A46)</f>
        <v>142.96</v>
      </c>
    </row>
    <row r="47" spans="1:16" x14ac:dyDescent="0.25">
      <c r="A47" t="s">
        <v>61</v>
      </c>
      <c r="B47">
        <f>RTD("tos.rtd", , "Last", A47)</f>
        <v>21.93</v>
      </c>
      <c r="C47" t="str">
        <f>RTD("tos.rtd", , "STRENGTH_METER", A47)</f>
        <v>Downtrend</v>
      </c>
      <c r="D47" t="str">
        <f>RTD("tos.rtd", , "QUOTE_TREND", A47)</f>
        <v>instrument=ATI</v>
      </c>
      <c r="E47">
        <f>RTD("tos.rtd", , "NET_CHANGE", A47)</f>
        <v>0.04</v>
      </c>
      <c r="F47">
        <f>RTD("tos.rtd", , "BID", A47)</f>
        <v>21.75</v>
      </c>
      <c r="G47">
        <f>RTD("tos.rtd", , "ASK", A47)</f>
        <v>22.05</v>
      </c>
      <c r="H47">
        <f>RTD("tos.rtd", , "BID_SIZE", A47)</f>
        <v>10</v>
      </c>
      <c r="I47">
        <f>RTD("tos.rtd", , "ASK_SIZE", A47)</f>
        <v>10</v>
      </c>
      <c r="J47">
        <f>RTD("tos.rtd", , "VOLUME", A47)</f>
        <v>3232567</v>
      </c>
      <c r="K47">
        <f>RTD("tos.rtd", , "OPEN", A47)</f>
        <v>21.6</v>
      </c>
      <c r="L47">
        <f>RTD("tos.rtd", , "HIGH",A47)</f>
        <v>21.97</v>
      </c>
      <c r="M47">
        <f>RTD("tos.rtd", , "LOW", A47)</f>
        <v>21.18</v>
      </c>
      <c r="N47">
        <f>RTD("tos.rtd", , "52HIGH", A47)</f>
        <v>26.59</v>
      </c>
      <c r="O47">
        <f>RTD("tos.rtd", , "52LOW", A47)</f>
        <v>14.536799999999999</v>
      </c>
      <c r="P47">
        <f>RTD("tos.rtd", , "Mark", A47)</f>
        <v>21.93</v>
      </c>
    </row>
    <row r="48" spans="1:16" x14ac:dyDescent="0.25">
      <c r="A48" t="s">
        <v>62</v>
      </c>
      <c r="B48">
        <f>RTD("tos.rtd", , "Last", A48)</f>
        <v>184.37</v>
      </c>
      <c r="C48" t="str">
        <f>RTD("tos.rtd", , "STRENGTH_METER", A48)</f>
        <v>Range Bound</v>
      </c>
      <c r="D48" t="str">
        <f>RTD("tos.rtd", , "QUOTE_TREND", A48)</f>
        <v>instrument=AVB</v>
      </c>
      <c r="E48">
        <f>RTD("tos.rtd", , "NET_CHANGE", A48)</f>
        <v>-1.72</v>
      </c>
      <c r="F48">
        <f>RTD("tos.rtd", , "BID", A48)</f>
        <v>183.43</v>
      </c>
      <c r="G48">
        <f>RTD("tos.rtd", , "ASK", A48)</f>
        <v>184.37</v>
      </c>
      <c r="H48">
        <f>RTD("tos.rtd", , "BID_SIZE", A48)</f>
        <v>2</v>
      </c>
      <c r="I48">
        <f>RTD("tos.rtd", , "ASK_SIZE", A48)</f>
        <v>0</v>
      </c>
      <c r="J48">
        <f>RTD("tos.rtd", , "VOLUME", A48)</f>
        <v>471145</v>
      </c>
      <c r="K48">
        <f>RTD("tos.rtd", , "OPEN", A48)</f>
        <v>186.09</v>
      </c>
      <c r="L48">
        <f>RTD("tos.rtd", , "HIGH",A48)</f>
        <v>186.09</v>
      </c>
      <c r="M48">
        <f>RTD("tos.rtd", , "LOW", A48)</f>
        <v>183.809</v>
      </c>
      <c r="N48">
        <f>RTD("tos.rtd", , "52HIGH", A48)</f>
        <v>199.52</v>
      </c>
      <c r="O48">
        <f>RTD("tos.rtd", , "52LOW", A48)</f>
        <v>158.32</v>
      </c>
      <c r="P48">
        <f>RTD("tos.rtd", , "Mark", A48)</f>
        <v>184.37</v>
      </c>
    </row>
    <row r="49" spans="1:16" x14ac:dyDescent="0.25">
      <c r="A49" t="s">
        <v>63</v>
      </c>
      <c r="B49">
        <f>RTD("tos.rtd", , "Last", A49)</f>
        <v>1.94</v>
      </c>
      <c r="C49" t="str">
        <f>RTD("tos.rtd", , "STRENGTH_METER", A49)</f>
        <v>Downtrend</v>
      </c>
      <c r="D49" t="str">
        <f>RTD("tos.rtd", , "QUOTE_TREND", A49)</f>
        <v>instrument=AVP</v>
      </c>
      <c r="E49">
        <f>RTD("tos.rtd", , "NET_CHANGE", A49)</f>
        <v>0.04</v>
      </c>
      <c r="F49">
        <f>RTD("tos.rtd", , "BID", A49)</f>
        <v>1.91</v>
      </c>
      <c r="G49">
        <f>RTD("tos.rtd", , "ASK", A49)</f>
        <v>1.93</v>
      </c>
      <c r="H49">
        <f>RTD("tos.rtd", , "BID_SIZE", A49)</f>
        <v>5</v>
      </c>
      <c r="I49">
        <f>RTD("tos.rtd", , "ASK_SIZE", A49)</f>
        <v>1</v>
      </c>
      <c r="J49">
        <f>RTD("tos.rtd", , "VOLUME", A49)</f>
        <v>4026781</v>
      </c>
      <c r="K49">
        <f>RTD("tos.rtd", , "OPEN", A49)</f>
        <v>1.89</v>
      </c>
      <c r="L49">
        <f>RTD("tos.rtd", , "HIGH",A49)</f>
        <v>1.95</v>
      </c>
      <c r="M49">
        <f>RTD("tos.rtd", , "LOW", A49)</f>
        <v>1.89</v>
      </c>
      <c r="N49">
        <f>RTD("tos.rtd", , "52HIGH", A49)</f>
        <v>6.03</v>
      </c>
      <c r="O49">
        <f>RTD("tos.rtd", , "52LOW", A49)</f>
        <v>1.85</v>
      </c>
      <c r="P49">
        <f>RTD("tos.rtd", , "Mark", A49)</f>
        <v>1.93</v>
      </c>
    </row>
    <row r="50" spans="1:16" x14ac:dyDescent="0.25">
      <c r="A50" t="s">
        <v>64</v>
      </c>
      <c r="B50">
        <f>RTD("tos.rtd", , "Last", A50)</f>
        <v>108.29</v>
      </c>
      <c r="C50" t="str">
        <f>RTD("tos.rtd", , "STRENGTH_METER", A50)</f>
        <v>Range Bound</v>
      </c>
      <c r="D50" t="str">
        <f>RTD("tos.rtd", , "QUOTE_TREND", A50)</f>
        <v>instrument=AVY</v>
      </c>
      <c r="E50">
        <f>RTD("tos.rtd", , "NET_CHANGE", A50)</f>
        <v>0.04</v>
      </c>
      <c r="F50">
        <f>RTD("tos.rtd", , "BID", A50)</f>
        <v>102.3</v>
      </c>
      <c r="G50">
        <f>RTD("tos.rtd", , "ASK", A50)</f>
        <v>114.25</v>
      </c>
      <c r="H50">
        <f>RTD("tos.rtd", , "BID_SIZE", A50)</f>
        <v>1</v>
      </c>
      <c r="I50">
        <f>RTD("tos.rtd", , "ASK_SIZE", A50)</f>
        <v>1</v>
      </c>
      <c r="J50">
        <f>RTD("tos.rtd", , "VOLUME", A50)</f>
        <v>599656</v>
      </c>
      <c r="K50">
        <f>RTD("tos.rtd", , "OPEN", A50)</f>
        <v>107.87</v>
      </c>
      <c r="L50">
        <f>RTD("tos.rtd", , "HIGH",A50)</f>
        <v>108.64</v>
      </c>
      <c r="M50">
        <f>RTD("tos.rtd", , "LOW", A50)</f>
        <v>107.31</v>
      </c>
      <c r="N50">
        <f>RTD("tos.rtd", , "52HIGH", A50)</f>
        <v>108.99</v>
      </c>
      <c r="O50">
        <f>RTD("tos.rtd", , "52LOW", A50)</f>
        <v>69.53</v>
      </c>
      <c r="P50">
        <f>RTD("tos.rtd", , "Mark", A50)</f>
        <v>108.29</v>
      </c>
    </row>
    <row r="51" spans="1:16" x14ac:dyDescent="0.25">
      <c r="A51" t="s">
        <v>65</v>
      </c>
      <c r="B51">
        <f>RTD("tos.rtd", , "Last", A51)</f>
        <v>93.69</v>
      </c>
      <c r="C51" t="str">
        <f>RTD("tos.rtd", , "STRENGTH_METER", A51)</f>
        <v>Range Bound</v>
      </c>
      <c r="D51" t="str">
        <f>RTD("tos.rtd", , "QUOTE_TREND", A51)</f>
        <v>instrument=AXP</v>
      </c>
      <c r="E51">
        <f>RTD("tos.rtd", , "NET_CHANGE", A51)</f>
        <v>0.13</v>
      </c>
      <c r="F51">
        <f>RTD("tos.rtd", , "BID", A51)</f>
        <v>92.48</v>
      </c>
      <c r="G51">
        <f>RTD("tos.rtd", , "ASK", A51)</f>
        <v>93.77</v>
      </c>
      <c r="H51">
        <f>RTD("tos.rtd", , "BID_SIZE", A51)</f>
        <v>1</v>
      </c>
      <c r="I51">
        <f>RTD("tos.rtd", , "ASK_SIZE", A51)</f>
        <v>1</v>
      </c>
      <c r="J51">
        <f>RTD("tos.rtd", , "VOLUME", A51)</f>
        <v>3247661</v>
      </c>
      <c r="K51">
        <f>RTD("tos.rtd", , "OPEN", A51)</f>
        <v>93.31</v>
      </c>
      <c r="L51">
        <f>RTD("tos.rtd", , "HIGH",A51)</f>
        <v>93.76</v>
      </c>
      <c r="M51">
        <f>RTD("tos.rtd", , "LOW", A51)</f>
        <v>92.92</v>
      </c>
      <c r="N51">
        <f>RTD("tos.rtd", , "52HIGH", A51)</f>
        <v>96.9</v>
      </c>
      <c r="O51">
        <f>RTD("tos.rtd", , "52LOW", A51)</f>
        <v>70.77</v>
      </c>
      <c r="P51">
        <f>RTD("tos.rtd", , "Mark", A51)</f>
        <v>93.69</v>
      </c>
    </row>
    <row r="52" spans="1:16" x14ac:dyDescent="0.25">
      <c r="A52" t="s">
        <v>66</v>
      </c>
      <c r="B52">
        <f>RTD("tos.rtd", , "Last", A52)</f>
        <v>629.42999999999995</v>
      </c>
      <c r="C52" t="str">
        <f>RTD("tos.rtd", , "STRENGTH_METER", A52)</f>
        <v>Range Bound</v>
      </c>
      <c r="D52" t="str">
        <f>RTD("tos.rtd", , "QUOTE_TREND", A52)</f>
        <v>instrument=AZO</v>
      </c>
      <c r="E52">
        <f>RTD("tos.rtd", , "NET_CHANGE", A52)</f>
        <v>10.84</v>
      </c>
      <c r="F52">
        <f>RTD("tos.rtd", , "BID", A52)</f>
        <v>620</v>
      </c>
      <c r="G52">
        <f>RTD("tos.rtd", , "ASK", A52)</f>
        <v>650</v>
      </c>
      <c r="H52">
        <f>RTD("tos.rtd", , "BID_SIZE", A52)</f>
        <v>1</v>
      </c>
      <c r="I52">
        <f>RTD("tos.rtd", , "ASK_SIZE", A52)</f>
        <v>1</v>
      </c>
      <c r="J52">
        <f>RTD("tos.rtd", , "VOLUME", A52)</f>
        <v>376773</v>
      </c>
      <c r="K52">
        <f>RTD("tos.rtd", , "OPEN", A52)</f>
        <v>622.28</v>
      </c>
      <c r="L52">
        <f>RTD("tos.rtd", , "HIGH",A52)</f>
        <v>630.83000000000004</v>
      </c>
      <c r="M52">
        <f>RTD("tos.rtd", , "LOW", A52)</f>
        <v>618.11</v>
      </c>
      <c r="N52">
        <f>RTD("tos.rtd", , "52HIGH", A52)</f>
        <v>813.7</v>
      </c>
      <c r="O52">
        <f>RTD("tos.rtd", , "52LOW", A52)</f>
        <v>491.13</v>
      </c>
      <c r="P52">
        <f>RTD("tos.rtd", , "Mark", A52)</f>
        <v>629.42999999999995</v>
      </c>
    </row>
    <row r="53" spans="1:16" x14ac:dyDescent="0.25">
      <c r="A53" t="s">
        <v>67</v>
      </c>
      <c r="B53">
        <f>RTD("tos.rtd", , "Last", A53)</f>
        <v>262.26</v>
      </c>
      <c r="C53" t="str">
        <f>RTD("tos.rtd", , "STRENGTH_METER", A53)</f>
        <v>Range Bound</v>
      </c>
      <c r="D53" t="str">
        <f>RTD("tos.rtd", , "QUOTE_TREND", A53)</f>
        <v>instrument=BA</v>
      </c>
      <c r="E53">
        <f>RTD("tos.rtd", , "NET_CHANGE", A53)</f>
        <v>-1.44</v>
      </c>
      <c r="F53">
        <f>RTD("tos.rtd", , "BID", A53)</f>
        <v>262.35000000000002</v>
      </c>
      <c r="G53">
        <f>RTD("tos.rtd", , "ASK", A53)</f>
        <v>263</v>
      </c>
      <c r="H53">
        <f>RTD("tos.rtd", , "BID_SIZE", A53)</f>
        <v>7</v>
      </c>
      <c r="I53">
        <f>RTD("tos.rtd", , "ASK_SIZE", A53)</f>
        <v>1</v>
      </c>
      <c r="J53">
        <f>RTD("tos.rtd", , "VOLUME", A53)</f>
        <v>1714729</v>
      </c>
      <c r="K53">
        <f>RTD("tos.rtd", , "OPEN", A53)</f>
        <v>262.82</v>
      </c>
      <c r="L53">
        <f>RTD("tos.rtd", , "HIGH",A53)</f>
        <v>263.74</v>
      </c>
      <c r="M53">
        <f>RTD("tos.rtd", , "LOW", A53)</f>
        <v>262.02999999999997</v>
      </c>
      <c r="N53">
        <f>RTD("tos.rtd", , "52HIGH", A53)</f>
        <v>267.62</v>
      </c>
      <c r="O53">
        <f>RTD("tos.rtd", , "52LOW", A53)</f>
        <v>144.46</v>
      </c>
      <c r="P53">
        <f>RTD("tos.rtd", , "Mark", A53)</f>
        <v>262.35000000000002</v>
      </c>
    </row>
    <row r="54" spans="1:16" x14ac:dyDescent="0.25">
      <c r="A54" t="s">
        <v>68</v>
      </c>
      <c r="B54">
        <f>RTD("tos.rtd", , "Last", A54)</f>
        <v>26.62</v>
      </c>
      <c r="C54" t="str">
        <f>RTD("tos.rtd", , "STRENGTH_METER", A54)</f>
        <v>Range Bound</v>
      </c>
      <c r="D54" t="str">
        <f>RTD("tos.rtd", , "QUOTE_TREND", A54)</f>
        <v>instrument=BAC</v>
      </c>
      <c r="E54">
        <f>RTD("tos.rtd", , "NET_CHANGE", A54)</f>
        <v>-0.14000000000000001</v>
      </c>
      <c r="F54">
        <f>RTD("tos.rtd", , "BID", A54)</f>
        <v>26.58</v>
      </c>
      <c r="G54">
        <f>RTD("tos.rtd", , "ASK", A54)</f>
        <v>26.6</v>
      </c>
      <c r="H54">
        <f>RTD("tos.rtd", , "BID_SIZE", A54)</f>
        <v>78</v>
      </c>
      <c r="I54">
        <f>RTD("tos.rtd", , "ASK_SIZE", A54)</f>
        <v>42</v>
      </c>
      <c r="J54">
        <f>RTD("tos.rtd", , "VOLUME", A54)</f>
        <v>48306498</v>
      </c>
      <c r="K54">
        <f>RTD("tos.rtd", , "OPEN", A54)</f>
        <v>26.51</v>
      </c>
      <c r="L54">
        <f>RTD("tos.rtd", , "HIGH",A54)</f>
        <v>26.73</v>
      </c>
      <c r="M54">
        <f>RTD("tos.rtd", , "LOW", A54)</f>
        <v>26.444700000000001</v>
      </c>
      <c r="N54">
        <f>RTD("tos.rtd", , "52HIGH", A54)</f>
        <v>27.98</v>
      </c>
      <c r="O54">
        <f>RTD("tos.rtd", , "52LOW", A54)</f>
        <v>19.68</v>
      </c>
      <c r="P54">
        <f>RTD("tos.rtd", , "Mark", A54)</f>
        <v>26.6</v>
      </c>
    </row>
    <row r="55" spans="1:16" x14ac:dyDescent="0.25">
      <c r="A55" t="s">
        <v>69</v>
      </c>
      <c r="B55">
        <f>RTD("tos.rtd", , "Last", A55)</f>
        <v>63.88</v>
      </c>
      <c r="C55" t="str">
        <f>RTD("tos.rtd", , "STRENGTH_METER", A55)</f>
        <v>Range Bound</v>
      </c>
      <c r="D55" t="str">
        <f>RTD("tos.rtd", , "QUOTE_TREND", A55)</f>
        <v>instrument=BAX</v>
      </c>
      <c r="E55">
        <f>RTD("tos.rtd", , "NET_CHANGE", A55)</f>
        <v>-1.1100000000000001</v>
      </c>
      <c r="F55">
        <f>RTD("tos.rtd", , "BID", A55)</f>
        <v>63.8</v>
      </c>
      <c r="G55">
        <f>RTD("tos.rtd", , "ASK", A55)</f>
        <v>65.55</v>
      </c>
      <c r="H55">
        <f>RTD("tos.rtd", , "BID_SIZE", A55)</f>
        <v>1</v>
      </c>
      <c r="I55">
        <f>RTD("tos.rtd", , "ASK_SIZE", A55)</f>
        <v>1</v>
      </c>
      <c r="J55">
        <f>RTD("tos.rtd", , "VOLUME", A55)</f>
        <v>4874583</v>
      </c>
      <c r="K55">
        <f>RTD("tos.rtd", , "OPEN", A55)</f>
        <v>64.66</v>
      </c>
      <c r="L55">
        <f>RTD("tos.rtd", , "HIGH",A55)</f>
        <v>64.87</v>
      </c>
      <c r="M55">
        <f>RTD("tos.rtd", , "LOW", A55)</f>
        <v>63.02</v>
      </c>
      <c r="N55">
        <f>RTD("tos.rtd", , "52HIGH", A55)</f>
        <v>65.7</v>
      </c>
      <c r="O55">
        <f>RTD("tos.rtd", , "52LOW", A55)</f>
        <v>43.13</v>
      </c>
      <c r="P55">
        <f>RTD("tos.rtd", , "Mark", A55)</f>
        <v>63.88</v>
      </c>
    </row>
    <row r="56" spans="1:16" x14ac:dyDescent="0.25">
      <c r="A56" t="s">
        <v>70</v>
      </c>
      <c r="B56">
        <f>RTD("tos.rtd", , "Last", A56)</f>
        <v>21.02</v>
      </c>
      <c r="C56" t="str">
        <f>RTD("tos.rtd", , "STRENGTH_METER", A56)</f>
        <v>Range Bound</v>
      </c>
      <c r="D56" t="str">
        <f>RTD("tos.rtd", , "QUOTE_TREND", A56)</f>
        <v>instrument=BBBY</v>
      </c>
      <c r="E56">
        <f>RTD("tos.rtd", , "NET_CHANGE", A56)</f>
        <v>0.49</v>
      </c>
      <c r="F56">
        <f>RTD("tos.rtd", , "BID", A56)</f>
        <v>20.399999999999999</v>
      </c>
      <c r="G56">
        <f>RTD("tos.rtd", , "ASK", A56)</f>
        <v>21.04</v>
      </c>
      <c r="H56">
        <f>RTD("tos.rtd", , "BID_SIZE", A56)</f>
        <v>3</v>
      </c>
      <c r="I56">
        <f>RTD("tos.rtd", , "ASK_SIZE", A56)</f>
        <v>10</v>
      </c>
      <c r="J56">
        <f>RTD("tos.rtd", , "VOLUME", A56)</f>
        <v>4801296</v>
      </c>
      <c r="K56">
        <f>RTD("tos.rtd", , "OPEN", A56)</f>
        <v>20.49</v>
      </c>
      <c r="L56">
        <f>RTD("tos.rtd", , "HIGH",A56)</f>
        <v>21.07</v>
      </c>
      <c r="M56">
        <f>RTD("tos.rtd", , "LOW", A56)</f>
        <v>20.41</v>
      </c>
      <c r="N56">
        <f>RTD("tos.rtd", , "52HIGH", A56)</f>
        <v>48.83</v>
      </c>
      <c r="O56">
        <f>RTD("tos.rtd", , "52LOW", A56)</f>
        <v>19.07</v>
      </c>
      <c r="P56">
        <f>RTD("tos.rtd", , "Mark", A56)</f>
        <v>21.02</v>
      </c>
    </row>
    <row r="57" spans="1:16" x14ac:dyDescent="0.25">
      <c r="A57" t="s">
        <v>71</v>
      </c>
      <c r="B57">
        <f>RTD("tos.rtd", , "Last", A57)</f>
        <v>46.82</v>
      </c>
      <c r="C57" t="str">
        <f>RTD("tos.rtd", , "STRENGTH_METER", A57)</f>
        <v>Range Bound</v>
      </c>
      <c r="D57" t="str">
        <f>RTD("tos.rtd", , "QUOTE_TREND", A57)</f>
        <v>instrument=BBT</v>
      </c>
      <c r="E57">
        <f>RTD("tos.rtd", , "NET_CHANGE", A57)</f>
        <v>0.05</v>
      </c>
      <c r="F57">
        <f>RTD("tos.rtd", , "BID", A57)</f>
        <v>46.71</v>
      </c>
      <c r="G57">
        <f>RTD("tos.rtd", , "ASK", A57)</f>
        <v>46.87</v>
      </c>
      <c r="H57">
        <f>RTD("tos.rtd", , "BID_SIZE", A57)</f>
        <v>1</v>
      </c>
      <c r="I57">
        <f>RTD("tos.rtd", , "ASK_SIZE", A57)</f>
        <v>1</v>
      </c>
      <c r="J57">
        <f>RTD("tos.rtd", , "VOLUME", A57)</f>
        <v>2669428</v>
      </c>
      <c r="K57">
        <f>RTD("tos.rtd", , "OPEN", A57)</f>
        <v>46.42</v>
      </c>
      <c r="L57">
        <f>RTD("tos.rtd", , "HIGH",A57)</f>
        <v>47.034999999999997</v>
      </c>
      <c r="M57">
        <f>RTD("tos.rtd", , "LOW", A57)</f>
        <v>46.33</v>
      </c>
      <c r="N57">
        <f>RTD("tos.rtd", , "52HIGH", A57)</f>
        <v>49.91</v>
      </c>
      <c r="O57">
        <f>RTD("tos.rtd", , "52LOW", A57)</f>
        <v>41.17</v>
      </c>
      <c r="P57">
        <f>RTD("tos.rtd", , "Mark", A57)</f>
        <v>46.82</v>
      </c>
    </row>
    <row r="58" spans="1:16" x14ac:dyDescent="0.25">
      <c r="A58" t="s">
        <v>72</v>
      </c>
      <c r="B58">
        <f>RTD("tos.rtd", , "Last", A58)</f>
        <v>55.83</v>
      </c>
      <c r="C58" t="str">
        <f>RTD("tos.rtd", , "STRENGTH_METER", A58)</f>
        <v>Range Bound</v>
      </c>
      <c r="D58" t="str">
        <f>RTD("tos.rtd", , "QUOTE_TREND", A58)</f>
        <v>instrument=BBY</v>
      </c>
      <c r="E58">
        <f>RTD("tos.rtd", , "NET_CHANGE", A58)</f>
        <v>0.57999999999999996</v>
      </c>
      <c r="F58">
        <f>RTD("tos.rtd", , "BID", A58)</f>
        <v>55.64</v>
      </c>
      <c r="G58">
        <f>RTD("tos.rtd", , "ASK", A58)</f>
        <v>55.8</v>
      </c>
      <c r="H58">
        <f>RTD("tos.rtd", , "BID_SIZE", A58)</f>
        <v>3</v>
      </c>
      <c r="I58">
        <f>RTD("tos.rtd", , "ASK_SIZE", A58)</f>
        <v>3</v>
      </c>
      <c r="J58">
        <f>RTD("tos.rtd", , "VOLUME", A58)</f>
        <v>5160202</v>
      </c>
      <c r="K58">
        <f>RTD("tos.rtd", , "OPEN", A58)</f>
        <v>55.57</v>
      </c>
      <c r="L58">
        <f>RTD("tos.rtd", , "HIGH",A58)</f>
        <v>55.99</v>
      </c>
      <c r="M58">
        <f>RTD("tos.rtd", , "LOW", A58)</f>
        <v>54.34</v>
      </c>
      <c r="N58">
        <f>RTD("tos.rtd", , "52HIGH", A58)</f>
        <v>63.32</v>
      </c>
      <c r="O58">
        <f>RTD("tos.rtd", , "52LOW", A58)</f>
        <v>39.430100000000003</v>
      </c>
      <c r="P58">
        <f>RTD("tos.rtd", , "Mark", A58)</f>
        <v>55.8</v>
      </c>
    </row>
    <row r="59" spans="1:16" x14ac:dyDescent="0.25">
      <c r="A59" t="s">
        <v>73</v>
      </c>
      <c r="B59">
        <f>RTD("tos.rtd", , "Last", A59)</f>
        <v>333.56</v>
      </c>
      <c r="C59" t="str">
        <f>RTD("tos.rtd", , "STRENGTH_METER", A59)</f>
        <v>Range Bound</v>
      </c>
      <c r="D59" t="str">
        <f>RTD("tos.rtd", , "QUOTE_TREND", A59)</f>
        <v>instrument=BCR</v>
      </c>
      <c r="E59">
        <f>RTD("tos.rtd", , "NET_CHANGE", A59)</f>
        <v>-0.69</v>
      </c>
      <c r="F59">
        <f>RTD("tos.rtd", , "BID", A59)</f>
        <v>1.01</v>
      </c>
      <c r="G59">
        <f>RTD("tos.rtd", , "ASK", A59)</f>
        <v>333.35</v>
      </c>
      <c r="H59">
        <f>RTD("tos.rtd", , "BID_SIZE", A59)</f>
        <v>1</v>
      </c>
      <c r="I59">
        <f>RTD("tos.rtd", , "ASK_SIZE", A59)</f>
        <v>0</v>
      </c>
      <c r="J59">
        <f>RTD("tos.rtd", , "VOLUME", A59)</f>
        <v>297237</v>
      </c>
      <c r="K59">
        <f>RTD("tos.rtd", , "OPEN", A59)</f>
        <v>332.75</v>
      </c>
      <c r="L59">
        <f>RTD("tos.rtd", , "HIGH",A59)</f>
        <v>333.84500000000003</v>
      </c>
      <c r="M59">
        <f>RTD("tos.rtd", , "LOW", A59)</f>
        <v>332.75</v>
      </c>
      <c r="N59">
        <f>RTD("tos.rtd", , "52HIGH", A59)</f>
        <v>335.84</v>
      </c>
      <c r="O59">
        <f>RTD("tos.rtd", , "52LOW", A59)</f>
        <v>206.25700000000001</v>
      </c>
      <c r="P59">
        <f>RTD("tos.rtd", , "Mark", A59)</f>
        <v>333.35</v>
      </c>
    </row>
    <row r="60" spans="1:16" x14ac:dyDescent="0.25">
      <c r="A60" t="s">
        <v>74</v>
      </c>
      <c r="B60">
        <f>RTD("tos.rtd", , "Last", A60)</f>
        <v>220.31</v>
      </c>
      <c r="C60" t="str">
        <f>RTD("tos.rtd", , "STRENGTH_METER", A60)</f>
        <v>Range Bound</v>
      </c>
      <c r="D60" t="str">
        <f>RTD("tos.rtd", , "QUOTE_TREND", A60)</f>
        <v>instrument=BDX</v>
      </c>
      <c r="E60">
        <f>RTD("tos.rtd", , "NET_CHANGE", A60)</f>
        <v>-1.21</v>
      </c>
      <c r="F60">
        <f>RTD("tos.rtd", , "BID", A60)</f>
        <v>170.01</v>
      </c>
      <c r="G60">
        <f>RTD("tos.rtd", , "ASK", A60)</f>
        <v>220.41</v>
      </c>
      <c r="H60">
        <f>RTD("tos.rtd", , "BID_SIZE", A60)</f>
        <v>1</v>
      </c>
      <c r="I60">
        <f>RTD("tos.rtd", , "ASK_SIZE", A60)</f>
        <v>0</v>
      </c>
      <c r="J60">
        <f>RTD("tos.rtd", , "VOLUME", A60)</f>
        <v>718967</v>
      </c>
      <c r="K60">
        <f>RTD("tos.rtd", , "OPEN", A60)</f>
        <v>220.77</v>
      </c>
      <c r="L60">
        <f>RTD("tos.rtd", , "HIGH",A60)</f>
        <v>221.42</v>
      </c>
      <c r="M60">
        <f>RTD("tos.rtd", , "LOW", A60)</f>
        <v>219.92</v>
      </c>
      <c r="N60">
        <f>RTD("tos.rtd", , "52HIGH", A60)</f>
        <v>225.23</v>
      </c>
      <c r="O60">
        <f>RTD("tos.rtd", , "52LOW", A60)</f>
        <v>161.29</v>
      </c>
      <c r="P60">
        <f>RTD("tos.rtd", , "Mark", A60)</f>
        <v>220.31</v>
      </c>
    </row>
    <row r="61" spans="1:16" x14ac:dyDescent="0.25">
      <c r="A61" t="s">
        <v>75</v>
      </c>
      <c r="B61" t="str">
        <f>RTD("tos.rtd", , "Last", A61)</f>
        <v>N/A</v>
      </c>
      <c r="C61" t="str">
        <f>RTD("tos.rtd", , "STRENGTH_METER", A61)</f>
        <v>N/A</v>
      </c>
      <c r="D61" t="str">
        <f>RTD("tos.rtd", , "QUOTE_TREND", A61)</f>
        <v>instrument=BEAM</v>
      </c>
      <c r="E61" t="str">
        <f>RTD("tos.rtd", , "NET_CHANGE", A61)</f>
        <v>N/A</v>
      </c>
      <c r="F61" t="str">
        <f>RTD("tos.rtd", , "BID", A61)</f>
        <v>N/A</v>
      </c>
      <c r="G61" t="str">
        <f>RTD("tos.rtd", , "ASK", A61)</f>
        <v>N/A</v>
      </c>
      <c r="H61">
        <f>RTD("tos.rtd", , "BID_SIZE", A61)</f>
        <v>0</v>
      </c>
      <c r="I61">
        <f>RTD("tos.rtd", , "ASK_SIZE", A61)</f>
        <v>0</v>
      </c>
      <c r="J61" t="str">
        <f>RTD("tos.rtd", , "VOLUME", A61)</f>
        <v>N/A</v>
      </c>
      <c r="K61" t="str">
        <f>RTD("tos.rtd", , "OPEN", A61)</f>
        <v>N/A</v>
      </c>
      <c r="L61" t="str">
        <f>RTD("tos.rtd", , "HIGH",A61)</f>
        <v>N/A</v>
      </c>
      <c r="M61" t="str">
        <f>RTD("tos.rtd", , "LOW", A61)</f>
        <v>N/A</v>
      </c>
      <c r="N61" t="str">
        <f>RTD("tos.rtd", , "52HIGH", A61)</f>
        <v>N/A</v>
      </c>
      <c r="O61" t="str">
        <f>RTD("tos.rtd", , "52LOW", A61)</f>
        <v>N/A</v>
      </c>
      <c r="P61" t="str">
        <f>RTD("tos.rtd", , "Mark", A61)</f>
        <v>N/A</v>
      </c>
    </row>
    <row r="62" spans="1:16" x14ac:dyDescent="0.25">
      <c r="A62" t="s">
        <v>76</v>
      </c>
      <c r="B62">
        <f>RTD("tos.rtd", , "Last", A62)</f>
        <v>40.479999999999997</v>
      </c>
      <c r="C62" t="str">
        <f>RTD("tos.rtd", , "STRENGTH_METER", A62)</f>
        <v>Range Bound</v>
      </c>
      <c r="D62" t="str">
        <f>RTD("tos.rtd", , "QUOTE_TREND", A62)</f>
        <v>instrument=BEN</v>
      </c>
      <c r="E62">
        <f>RTD("tos.rtd", , "NET_CHANGE", A62)</f>
        <v>-7.0000000000000007E-2</v>
      </c>
      <c r="F62">
        <f>RTD("tos.rtd", , "BID", A62)</f>
        <v>36.5</v>
      </c>
      <c r="G62">
        <f>RTD("tos.rtd", , "ASK", A62)</f>
        <v>44.97</v>
      </c>
      <c r="H62">
        <f>RTD("tos.rtd", , "BID_SIZE", A62)</f>
        <v>0</v>
      </c>
      <c r="I62">
        <f>RTD("tos.rtd", , "ASK_SIZE", A62)</f>
        <v>1</v>
      </c>
      <c r="J62">
        <f>RTD("tos.rtd", , "VOLUME", A62)</f>
        <v>1826915</v>
      </c>
      <c r="K62">
        <f>RTD("tos.rtd", , "OPEN", A62)</f>
        <v>40.4</v>
      </c>
      <c r="L62">
        <f>RTD("tos.rtd", , "HIGH",A62)</f>
        <v>40.71</v>
      </c>
      <c r="M62">
        <f>RTD("tos.rtd", , "LOW", A62)</f>
        <v>40.270000000000003</v>
      </c>
      <c r="N62">
        <f>RTD("tos.rtd", , "52HIGH", A62)</f>
        <v>47.65</v>
      </c>
      <c r="O62">
        <f>RTD("tos.rtd", , "52LOW", A62)</f>
        <v>38.17</v>
      </c>
      <c r="P62">
        <f>RTD("tos.rtd", , "Mark", A62)</f>
        <v>40.479999999999997</v>
      </c>
    </row>
    <row r="63" spans="1:16" x14ac:dyDescent="0.25">
      <c r="A63" t="s">
        <v>77</v>
      </c>
      <c r="B63" t="str">
        <f>RTD("tos.rtd", , "Last", A63)</f>
        <v>N/A</v>
      </c>
      <c r="C63" t="str">
        <f>RTD("tos.rtd", , "STRENGTH_METER", A63)</f>
        <v>N/A</v>
      </c>
      <c r="D63" t="str">
        <f>RTD("tos.rtd", , "QUOTE_TREND", A63)</f>
        <v>instrument=null</v>
      </c>
      <c r="E63" t="str">
        <f>RTD("tos.rtd", , "NET_CHANGE", A63)</f>
        <v>N/A</v>
      </c>
      <c r="F63" t="str">
        <f>RTD("tos.rtd", , "BID", A63)</f>
        <v>N/A</v>
      </c>
      <c r="G63" t="str">
        <f>RTD("tos.rtd", , "ASK", A63)</f>
        <v>N/A</v>
      </c>
      <c r="H63">
        <f>RTD("tos.rtd", , "BID_SIZE", A63)</f>
        <v>0</v>
      </c>
      <c r="I63">
        <f>RTD("tos.rtd", , "ASK_SIZE", A63)</f>
        <v>0</v>
      </c>
      <c r="J63" t="str">
        <f>RTD("tos.rtd", , "VOLUME", A63)</f>
        <v>N/A</v>
      </c>
      <c r="K63" t="str">
        <f>RTD("tos.rtd", , "OPEN", A63)</f>
        <v>N/A</v>
      </c>
      <c r="L63" t="str">
        <f>RTD("tos.rtd", , "HIGH",A63)</f>
        <v>N/A</v>
      </c>
      <c r="M63" t="str">
        <f>RTD("tos.rtd", , "LOW", A63)</f>
        <v>N/A</v>
      </c>
      <c r="N63" t="str">
        <f>RTD("tos.rtd", , "52HIGH", A63)</f>
        <v>N/A</v>
      </c>
      <c r="O63" t="str">
        <f>RTD("tos.rtd", , "52LOW", A63)</f>
        <v>N/A</v>
      </c>
      <c r="P63">
        <f>RTD("tos.rtd", , "Mark", A63)</f>
        <v>0</v>
      </c>
    </row>
    <row r="64" spans="1:16" x14ac:dyDescent="0.25">
      <c r="A64" t="s">
        <v>78</v>
      </c>
      <c r="B64">
        <f>RTD("tos.rtd", , "Last", A64)</f>
        <v>57.68</v>
      </c>
      <c r="C64" t="str">
        <f>RTD("tos.rtd", , "STRENGTH_METER", A64)</f>
        <v>Range Bound</v>
      </c>
      <c r="D64" t="str">
        <f>RTD("tos.rtd", , "QUOTE_TREND", A64)</f>
        <v>instrument=BHI</v>
      </c>
      <c r="E64">
        <f>RTD("tos.rtd", , "NET_CHANGE", A64)</f>
        <v>0</v>
      </c>
      <c r="F64">
        <f>RTD("tos.rtd", , "BID", A64)</f>
        <v>57.71</v>
      </c>
      <c r="G64">
        <f>RTD("tos.rtd", , "ASK", A64)</f>
        <v>58.94</v>
      </c>
      <c r="H64">
        <f>RTD("tos.rtd", , "BID_SIZE", A64)</f>
        <v>0</v>
      </c>
      <c r="I64">
        <f>RTD("tos.rtd", , "ASK_SIZE", A64)</f>
        <v>0</v>
      </c>
      <c r="J64">
        <f>RTD("tos.rtd", , "VOLUME", A64)</f>
        <v>0</v>
      </c>
      <c r="K64">
        <f>RTD("tos.rtd", , "OPEN", A64)</f>
        <v>0</v>
      </c>
      <c r="L64">
        <f>RTD("tos.rtd", , "HIGH",A64)</f>
        <v>0</v>
      </c>
      <c r="M64">
        <f>RTD("tos.rtd", , "LOW", A64)</f>
        <v>0</v>
      </c>
      <c r="N64">
        <f>RTD("tos.rtd", , "52HIGH", A64)</f>
        <v>68.59</v>
      </c>
      <c r="O64">
        <f>RTD("tos.rtd", , "52LOW", A64)</f>
        <v>43.09</v>
      </c>
      <c r="P64">
        <f>RTD("tos.rtd", , "Mark", A64)</f>
        <v>57.71</v>
      </c>
    </row>
    <row r="65" spans="1:16" x14ac:dyDescent="0.25">
      <c r="A65" t="s">
        <v>79</v>
      </c>
      <c r="B65">
        <f>RTD("tos.rtd", , "Last", A65)</f>
        <v>313.97000000000003</v>
      </c>
      <c r="C65" t="str">
        <f>RTD("tos.rtd", , "STRENGTH_METER", A65)</f>
        <v>Range Bound</v>
      </c>
      <c r="D65" t="str">
        <f>RTD("tos.rtd", , "QUOTE_TREND", A65)</f>
        <v>instrument=BIIB</v>
      </c>
      <c r="E65">
        <f>RTD("tos.rtd", , "NET_CHANGE", A65)</f>
        <v>-0.01</v>
      </c>
      <c r="F65">
        <f>RTD("tos.rtd", , "BID", A65)</f>
        <v>307</v>
      </c>
      <c r="G65">
        <f>RTD("tos.rtd", , "ASK", A65)</f>
        <v>313.89999999999998</v>
      </c>
      <c r="H65">
        <f>RTD("tos.rtd", , "BID_SIZE", A65)</f>
        <v>2</v>
      </c>
      <c r="I65">
        <f>RTD("tos.rtd", , "ASK_SIZE", A65)</f>
        <v>3</v>
      </c>
      <c r="J65">
        <f>RTD("tos.rtd", , "VOLUME", A65)</f>
        <v>843470</v>
      </c>
      <c r="K65">
        <f>RTD("tos.rtd", , "OPEN", A65)</f>
        <v>313.47000000000003</v>
      </c>
      <c r="L65">
        <f>RTD("tos.rtd", , "HIGH",A65)</f>
        <v>316</v>
      </c>
      <c r="M65">
        <f>RTD("tos.rtd", , "LOW", A65)</f>
        <v>310.18</v>
      </c>
      <c r="N65">
        <f>RTD("tos.rtd", , "52HIGH", A65)</f>
        <v>348.84</v>
      </c>
      <c r="O65">
        <f>RTD("tos.rtd", , "52LOW", A65)</f>
        <v>244.28</v>
      </c>
      <c r="P65">
        <f>RTD("tos.rtd", , "Mark", A65)</f>
        <v>313.89999999999998</v>
      </c>
    </row>
    <row r="66" spans="1:16" x14ac:dyDescent="0.25">
      <c r="A66" t="s">
        <v>80</v>
      </c>
      <c r="B66">
        <f>RTD("tos.rtd", , "Last", A66)</f>
        <v>52.47</v>
      </c>
      <c r="C66" t="str">
        <f>RTD("tos.rtd", , "STRENGTH_METER", A66)</f>
        <v>Range Bound</v>
      </c>
      <c r="D66" t="str">
        <f>RTD("tos.rtd", , "QUOTE_TREND", A66)</f>
        <v>instrument=BK</v>
      </c>
      <c r="E66">
        <f>RTD("tos.rtd", , "NET_CHANGE", A66)</f>
        <v>0.24</v>
      </c>
      <c r="F66">
        <f>RTD("tos.rtd", , "BID", A66)</f>
        <v>52.35</v>
      </c>
      <c r="G66">
        <f>RTD("tos.rtd", , "ASK", A66)</f>
        <v>52.5</v>
      </c>
      <c r="H66">
        <f>RTD("tos.rtd", , "BID_SIZE", A66)</f>
        <v>2</v>
      </c>
      <c r="I66">
        <f>RTD("tos.rtd", , "ASK_SIZE", A66)</f>
        <v>1</v>
      </c>
      <c r="J66">
        <f>RTD("tos.rtd", , "VOLUME", A66)</f>
        <v>4332683</v>
      </c>
      <c r="K66">
        <f>RTD("tos.rtd", , "OPEN", A66)</f>
        <v>52</v>
      </c>
      <c r="L66">
        <f>RTD("tos.rtd", , "HIGH",A66)</f>
        <v>52.8</v>
      </c>
      <c r="M66">
        <f>RTD("tos.rtd", , "LOW", A66)</f>
        <v>51.92</v>
      </c>
      <c r="N66">
        <f>RTD("tos.rtd", , "52HIGH", A66)</f>
        <v>55.29</v>
      </c>
      <c r="O66">
        <f>RTD("tos.rtd", , "52LOW", A66)</f>
        <v>43.85</v>
      </c>
      <c r="P66">
        <f>RTD("tos.rtd", , "Mark", A66)</f>
        <v>52.47</v>
      </c>
    </row>
    <row r="67" spans="1:16" x14ac:dyDescent="0.25">
      <c r="A67" t="s">
        <v>81</v>
      </c>
      <c r="B67">
        <f>RTD("tos.rtd", , "Last", A67)</f>
        <v>473.99</v>
      </c>
      <c r="C67" t="str">
        <f>RTD("tos.rtd", , "STRENGTH_METER", A67)</f>
        <v>Range Bound</v>
      </c>
      <c r="D67" t="str">
        <f>RTD("tos.rtd", , "QUOTE_TREND", A67)</f>
        <v>instrument=BLK</v>
      </c>
      <c r="E67">
        <f>RTD("tos.rtd", , "NET_CHANGE", A67)</f>
        <v>-0.03</v>
      </c>
      <c r="F67">
        <f>RTD("tos.rtd", , "BID", A67)</f>
        <v>458.55</v>
      </c>
      <c r="G67">
        <f>RTD("tos.rtd", , "ASK", A67)</f>
        <v>474.23</v>
      </c>
      <c r="H67">
        <f>RTD("tos.rtd", , "BID_SIZE", A67)</f>
        <v>5</v>
      </c>
      <c r="I67">
        <f>RTD("tos.rtd", , "ASK_SIZE", A67)</f>
        <v>0</v>
      </c>
      <c r="J67">
        <f>RTD("tos.rtd", , "VOLUME", A67)</f>
        <v>504530</v>
      </c>
      <c r="K67">
        <f>RTD("tos.rtd", , "OPEN", A67)</f>
        <v>471.75</v>
      </c>
      <c r="L67">
        <f>RTD("tos.rtd", , "HIGH",A67)</f>
        <v>479.25</v>
      </c>
      <c r="M67">
        <f>RTD("tos.rtd", , "LOW", A67)</f>
        <v>471.66</v>
      </c>
      <c r="N67">
        <f>RTD("tos.rtd", , "52HIGH", A67)</f>
        <v>489.79</v>
      </c>
      <c r="O67">
        <f>RTD("tos.rtd", , "52LOW", A67)</f>
        <v>365.83229999999998</v>
      </c>
      <c r="P67">
        <f>RTD("tos.rtd", , "Mark", A67)</f>
        <v>473.99</v>
      </c>
    </row>
    <row r="68" spans="1:16" x14ac:dyDescent="0.25">
      <c r="A68" t="s">
        <v>82</v>
      </c>
      <c r="B68">
        <f>RTD("tos.rtd", , "Last", A68)</f>
        <v>39.979999999999997</v>
      </c>
      <c r="C68" t="str">
        <f>RTD("tos.rtd", , "STRENGTH_METER", A68)</f>
        <v>Range Bound</v>
      </c>
      <c r="D68" t="str">
        <f>RTD("tos.rtd", , "QUOTE_TREND", A68)</f>
        <v>instrument=BLL</v>
      </c>
      <c r="E68">
        <f>RTD("tos.rtd", , "NET_CHANGE", A68)</f>
        <v>-0.54</v>
      </c>
      <c r="F68">
        <f>RTD("tos.rtd", , "BID", A68)</f>
        <v>39.97</v>
      </c>
      <c r="G68">
        <f>RTD("tos.rtd", , "ASK", A68)</f>
        <v>40.01</v>
      </c>
      <c r="H68">
        <f>RTD("tos.rtd", , "BID_SIZE", A68)</f>
        <v>5</v>
      </c>
      <c r="I68">
        <f>RTD("tos.rtd", , "ASK_SIZE", A68)</f>
        <v>1</v>
      </c>
      <c r="J68">
        <f>RTD("tos.rtd", , "VOLUME", A68)</f>
        <v>2975074</v>
      </c>
      <c r="K68">
        <f>RTD("tos.rtd", , "OPEN", A68)</f>
        <v>40.22</v>
      </c>
      <c r="L68">
        <f>RTD("tos.rtd", , "HIGH",A68)</f>
        <v>40.5</v>
      </c>
      <c r="M68">
        <f>RTD("tos.rtd", , "LOW", A68)</f>
        <v>39.950000000000003</v>
      </c>
      <c r="N68">
        <f>RTD("tos.rtd", , "52HIGH", A68)</f>
        <v>43.24</v>
      </c>
      <c r="O68">
        <f>RTD("tos.rtd", , "52LOW", A68)</f>
        <v>35.645000000000003</v>
      </c>
      <c r="P68">
        <f>RTD("tos.rtd", , "Mark", A68)</f>
        <v>39.979999999999997</v>
      </c>
    </row>
    <row r="69" spans="1:16" x14ac:dyDescent="0.25">
      <c r="A69" t="s">
        <v>83</v>
      </c>
      <c r="B69" t="str">
        <f>RTD("tos.rtd", , "Last", A69)</f>
        <v>N/A</v>
      </c>
      <c r="C69" t="str">
        <f>RTD("tos.rtd", , "STRENGTH_METER", A69)</f>
        <v>N/A</v>
      </c>
      <c r="D69" t="str">
        <f>RTD("tos.rtd", , "QUOTE_TREND", A69)</f>
        <v>instrument=BMC</v>
      </c>
      <c r="E69" t="str">
        <f>RTD("tos.rtd", , "NET_CHANGE", A69)</f>
        <v>N/A</v>
      </c>
      <c r="F69" t="str">
        <f>RTD("tos.rtd", , "BID", A69)</f>
        <v>N/A</v>
      </c>
      <c r="G69" t="str">
        <f>RTD("tos.rtd", , "ASK", A69)</f>
        <v>N/A</v>
      </c>
      <c r="H69">
        <f>RTD("tos.rtd", , "BID_SIZE", A69)</f>
        <v>0</v>
      </c>
      <c r="I69">
        <f>RTD("tos.rtd", , "ASK_SIZE", A69)</f>
        <v>0</v>
      </c>
      <c r="J69" t="str">
        <f>RTD("tos.rtd", , "VOLUME", A69)</f>
        <v>N/A</v>
      </c>
      <c r="K69" t="str">
        <f>RTD("tos.rtd", , "OPEN", A69)</f>
        <v>N/A</v>
      </c>
      <c r="L69" t="str">
        <f>RTD("tos.rtd", , "HIGH",A69)</f>
        <v>N/A</v>
      </c>
      <c r="M69" t="str">
        <f>RTD("tos.rtd", , "LOW", A69)</f>
        <v>N/A</v>
      </c>
      <c r="N69" t="str">
        <f>RTD("tos.rtd", , "52HIGH", A69)</f>
        <v>N/A</v>
      </c>
      <c r="O69" t="str">
        <f>RTD("tos.rtd", , "52LOW", A69)</f>
        <v>N/A</v>
      </c>
      <c r="P69" t="str">
        <f>RTD("tos.rtd", , "Mark", A69)</f>
        <v>N/A</v>
      </c>
    </row>
    <row r="70" spans="1:16" x14ac:dyDescent="0.25">
      <c r="A70" t="s">
        <v>84</v>
      </c>
      <c r="B70">
        <f>RTD("tos.rtd", , "Last", A70)</f>
        <v>45.95</v>
      </c>
      <c r="C70" t="str">
        <f>RTD("tos.rtd", , "STRENGTH_METER", A70)</f>
        <v>Range Bound</v>
      </c>
      <c r="D70" t="str">
        <f>RTD("tos.rtd", , "QUOTE_TREND", A70)</f>
        <v>instrument=BMS</v>
      </c>
      <c r="E70">
        <f>RTD("tos.rtd", , "NET_CHANGE", A70)</f>
        <v>0.22</v>
      </c>
      <c r="F70">
        <f>RTD("tos.rtd", , "BID", A70)</f>
        <v>44.8</v>
      </c>
      <c r="G70">
        <f>RTD("tos.rtd", , "ASK", A70)</f>
        <v>46</v>
      </c>
      <c r="H70">
        <f>RTD("tos.rtd", , "BID_SIZE", A70)</f>
        <v>10</v>
      </c>
      <c r="I70">
        <f>RTD("tos.rtd", , "ASK_SIZE", A70)</f>
        <v>1</v>
      </c>
      <c r="J70">
        <f>RTD("tos.rtd", , "VOLUME", A70)</f>
        <v>1087232</v>
      </c>
      <c r="K70">
        <f>RTD("tos.rtd", , "OPEN", A70)</f>
        <v>45.69</v>
      </c>
      <c r="L70">
        <f>RTD("tos.rtd", , "HIGH",A70)</f>
        <v>46.16</v>
      </c>
      <c r="M70">
        <f>RTD("tos.rtd", , "LOW", A70)</f>
        <v>45.54</v>
      </c>
      <c r="N70">
        <f>RTD("tos.rtd", , "52HIGH", A70)</f>
        <v>51.98</v>
      </c>
      <c r="O70">
        <f>RTD("tos.rtd", , "52LOW", A70)</f>
        <v>40.6</v>
      </c>
      <c r="P70">
        <f>RTD("tos.rtd", , "Mark", A70)</f>
        <v>45.95</v>
      </c>
    </row>
    <row r="71" spans="1:16" x14ac:dyDescent="0.25">
      <c r="A71" t="s">
        <v>85</v>
      </c>
      <c r="B71">
        <f>RTD("tos.rtd", , "Last", A71)</f>
        <v>61.32</v>
      </c>
      <c r="C71" t="str">
        <f>RTD("tos.rtd", , "STRENGTH_METER", A71)</f>
        <v>Range Bound</v>
      </c>
      <c r="D71" t="str">
        <f>RTD("tos.rtd", , "QUOTE_TREND", A71)</f>
        <v>instrument=BMY</v>
      </c>
      <c r="E71">
        <f>RTD("tos.rtd", , "NET_CHANGE", A71)</f>
        <v>-0.55000000000000004</v>
      </c>
      <c r="F71">
        <f>RTD("tos.rtd", , "BID", A71)</f>
        <v>61.15</v>
      </c>
      <c r="G71">
        <f>RTD("tos.rtd", , "ASK", A71)</f>
        <v>61.38</v>
      </c>
      <c r="H71">
        <f>RTD("tos.rtd", , "BID_SIZE", A71)</f>
        <v>1</v>
      </c>
      <c r="I71">
        <f>RTD("tos.rtd", , "ASK_SIZE", A71)</f>
        <v>1</v>
      </c>
      <c r="J71">
        <f>RTD("tos.rtd", , "VOLUME", A71)</f>
        <v>3932760</v>
      </c>
      <c r="K71">
        <f>RTD("tos.rtd", , "OPEN", A71)</f>
        <v>61.56</v>
      </c>
      <c r="L71">
        <f>RTD("tos.rtd", , "HIGH",A71)</f>
        <v>61.895000000000003</v>
      </c>
      <c r="M71">
        <f>RTD("tos.rtd", , "LOW", A71)</f>
        <v>60.99</v>
      </c>
      <c r="N71">
        <f>RTD("tos.rtd", , "52HIGH", A71)</f>
        <v>66.099999999999994</v>
      </c>
      <c r="O71">
        <f>RTD("tos.rtd", , "52LOW", A71)</f>
        <v>46.01</v>
      </c>
      <c r="P71">
        <f>RTD("tos.rtd", , "Mark", A71)</f>
        <v>61.32</v>
      </c>
    </row>
    <row r="72" spans="1:16" x14ac:dyDescent="0.25">
      <c r="A72" t="s">
        <v>86</v>
      </c>
      <c r="B72">
        <f>RTD("tos.rtd", , "Last", A72)</f>
        <v>0</v>
      </c>
      <c r="C72" t="str">
        <f>RTD("tos.rtd", , "STRENGTH_METER", A72)</f>
        <v>Downtrend</v>
      </c>
      <c r="D72" t="str">
        <f>RTD("tos.rtd", , "QUOTE_TREND", A72)</f>
        <v>instrument=BRCM</v>
      </c>
      <c r="E72">
        <f>RTD("tos.rtd", , "NET_CHANGE", A72)</f>
        <v>0</v>
      </c>
      <c r="F72">
        <f>RTD("tos.rtd", , "BID", A72)</f>
        <v>54.3</v>
      </c>
      <c r="G72">
        <f>RTD("tos.rtd", , "ASK", A72)</f>
        <v>60</v>
      </c>
      <c r="H72">
        <f>RTD("tos.rtd", , "BID_SIZE", A72)</f>
        <v>0</v>
      </c>
      <c r="I72">
        <f>RTD("tos.rtd", , "ASK_SIZE", A72)</f>
        <v>0</v>
      </c>
      <c r="J72">
        <f>RTD("tos.rtd", , "VOLUME", A72)</f>
        <v>0</v>
      </c>
      <c r="K72">
        <f>RTD("tos.rtd", , "OPEN", A72)</f>
        <v>0</v>
      </c>
      <c r="L72">
        <f>RTD("tos.rtd", , "HIGH",A72)</f>
        <v>0</v>
      </c>
      <c r="M72">
        <f>RTD("tos.rtd", , "LOW", A72)</f>
        <v>0</v>
      </c>
      <c r="N72">
        <f>RTD("tos.rtd", , "52HIGH", A72)</f>
        <v>58.51</v>
      </c>
      <c r="O72">
        <f>RTD("tos.rtd", , "52LOW", A72)</f>
        <v>41.28</v>
      </c>
      <c r="P72">
        <f>RTD("tos.rtd", , "Mark", A72)</f>
        <v>54.3</v>
      </c>
    </row>
    <row r="73" spans="1:16" x14ac:dyDescent="0.25">
      <c r="A73" t="s">
        <v>87</v>
      </c>
      <c r="B73" t="str">
        <f>RTD("tos.rtd", , "Last", A73)</f>
        <v>N/A</v>
      </c>
      <c r="C73" t="str">
        <f>RTD("tos.rtd", , "STRENGTH_METER", A73)</f>
        <v>N/A</v>
      </c>
      <c r="D73" t="str">
        <f>RTD("tos.rtd", , "QUOTE_TREND", A73)</f>
        <v>instrument=null</v>
      </c>
      <c r="E73" t="str">
        <f>RTD("tos.rtd", , "NET_CHANGE", A73)</f>
        <v>N/A</v>
      </c>
      <c r="F73" t="str">
        <f>RTD("tos.rtd", , "BID", A73)</f>
        <v>N/A</v>
      </c>
      <c r="G73" t="str">
        <f>RTD("tos.rtd", , "ASK", A73)</f>
        <v>N/A</v>
      </c>
      <c r="H73">
        <f>RTD("tos.rtd", , "BID_SIZE", A73)</f>
        <v>0</v>
      </c>
      <c r="I73">
        <f>RTD("tos.rtd", , "ASK_SIZE", A73)</f>
        <v>0</v>
      </c>
      <c r="J73" t="str">
        <f>RTD("tos.rtd", , "VOLUME", A73)</f>
        <v>N/A</v>
      </c>
      <c r="K73" t="str">
        <f>RTD("tos.rtd", , "OPEN", A73)</f>
        <v>N/A</v>
      </c>
      <c r="L73" t="str">
        <f>RTD("tos.rtd", , "HIGH",A73)</f>
        <v>N/A</v>
      </c>
      <c r="M73" t="str">
        <f>RTD("tos.rtd", , "LOW", A73)</f>
        <v>N/A</v>
      </c>
      <c r="N73" t="str">
        <f>RTD("tos.rtd", , "52HIGH", A73)</f>
        <v>N/A</v>
      </c>
      <c r="O73" t="str">
        <f>RTD("tos.rtd", , "52LOW", A73)</f>
        <v>N/A</v>
      </c>
      <c r="P73">
        <f>RTD("tos.rtd", , "Mark", A73)</f>
        <v>0</v>
      </c>
    </row>
    <row r="74" spans="1:16" x14ac:dyDescent="0.25">
      <c r="A74" t="s">
        <v>88</v>
      </c>
      <c r="B74">
        <f>RTD("tos.rtd", , "Last", A74)</f>
        <v>28.26</v>
      </c>
      <c r="C74" t="str">
        <f>RTD("tos.rtd", , "STRENGTH_METER", A74)</f>
        <v>Range Bound</v>
      </c>
      <c r="D74" t="str">
        <f>RTD("tos.rtd", , "QUOTE_TREND", A74)</f>
        <v>instrument=BSX</v>
      </c>
      <c r="E74">
        <f>RTD("tos.rtd", , "NET_CHANGE", A74)</f>
        <v>-0.02</v>
      </c>
      <c r="F74">
        <f>RTD("tos.rtd", , "BID", A74)</f>
        <v>28.19</v>
      </c>
      <c r="G74">
        <f>RTD("tos.rtd", , "ASK", A74)</f>
        <v>28.28</v>
      </c>
      <c r="H74">
        <f>RTD("tos.rtd", , "BID_SIZE", A74)</f>
        <v>8</v>
      </c>
      <c r="I74">
        <f>RTD("tos.rtd", , "ASK_SIZE", A74)</f>
        <v>8</v>
      </c>
      <c r="J74">
        <f>RTD("tos.rtd", , "VOLUME", A74)</f>
        <v>5153205</v>
      </c>
      <c r="K74">
        <f>RTD("tos.rtd", , "OPEN", A74)</f>
        <v>28.2</v>
      </c>
      <c r="L74">
        <f>RTD("tos.rtd", , "HIGH",A74)</f>
        <v>28.37</v>
      </c>
      <c r="M74">
        <f>RTD("tos.rtd", , "LOW", A74)</f>
        <v>28.14</v>
      </c>
      <c r="N74">
        <f>RTD("tos.rtd", , "52HIGH", A74)</f>
        <v>29.93</v>
      </c>
      <c r="O74">
        <f>RTD("tos.rtd", , "52LOW", A74)</f>
        <v>19.670000000000002</v>
      </c>
      <c r="P74">
        <f>RTD("tos.rtd", , "Mark", A74)</f>
        <v>28.26</v>
      </c>
    </row>
    <row r="75" spans="1:16" x14ac:dyDescent="0.25">
      <c r="A75" t="s">
        <v>89</v>
      </c>
      <c r="B75">
        <f>RTD("tos.rtd", , "Last", A75)</f>
        <v>31.49</v>
      </c>
      <c r="C75" t="str">
        <f>RTD("tos.rtd", , "STRENGTH_METER", A75)</f>
        <v>Range Bound</v>
      </c>
      <c r="D75" t="str">
        <f>RTD("tos.rtd", , "QUOTE_TREND", A75)</f>
        <v>instrument=BTU</v>
      </c>
      <c r="E75">
        <f>RTD("tos.rtd", , "NET_CHANGE", A75)</f>
        <v>0.05</v>
      </c>
      <c r="F75">
        <f>RTD("tos.rtd", , "BID", A75)</f>
        <v>29.58</v>
      </c>
      <c r="G75">
        <f>RTD("tos.rtd", , "ASK", A75)</f>
        <v>33.43</v>
      </c>
      <c r="H75">
        <f>RTD("tos.rtd", , "BID_SIZE", A75)</f>
        <v>1</v>
      </c>
      <c r="I75">
        <f>RTD("tos.rtd", , "ASK_SIZE", A75)</f>
        <v>0</v>
      </c>
      <c r="J75">
        <f>RTD("tos.rtd", , "VOLUME", A75)</f>
        <v>1270287</v>
      </c>
      <c r="K75">
        <f>RTD("tos.rtd", , "OPEN", A75)</f>
        <v>31.35</v>
      </c>
      <c r="L75">
        <f>RTD("tos.rtd", , "HIGH",A75)</f>
        <v>31.594999999999999</v>
      </c>
      <c r="M75">
        <f>RTD("tos.rtd", , "LOW", A75)</f>
        <v>31.2</v>
      </c>
      <c r="N75">
        <f>RTD("tos.rtd", , "52HIGH", A75)</f>
        <v>32.5</v>
      </c>
      <c r="O75">
        <f>RTD("tos.rtd", , "52LOW", A75)</f>
        <v>22.58</v>
      </c>
      <c r="P75">
        <f>RTD("tos.rtd", , "Mark", A75)</f>
        <v>31.49</v>
      </c>
    </row>
    <row r="76" spans="1:16" x14ac:dyDescent="0.25">
      <c r="A76" t="s">
        <v>90</v>
      </c>
      <c r="B76">
        <f>RTD("tos.rtd", , "Last", A76)</f>
        <v>51.94</v>
      </c>
      <c r="C76" t="str">
        <f>RTD("tos.rtd", , "STRENGTH_METER", A76)</f>
        <v>Range Bound</v>
      </c>
      <c r="D76" t="str">
        <f>RTD("tos.rtd", , "QUOTE_TREND", A76)</f>
        <v>instrument=BWA</v>
      </c>
      <c r="E76">
        <f>RTD("tos.rtd", , "NET_CHANGE", A76)</f>
        <v>-0.1</v>
      </c>
      <c r="F76">
        <f>RTD("tos.rtd", , "BID", A76)</f>
        <v>45</v>
      </c>
      <c r="G76">
        <f>RTD("tos.rtd", , "ASK", A76)</f>
        <v>53.1</v>
      </c>
      <c r="H76">
        <f>RTD("tos.rtd", , "BID_SIZE", A76)</f>
        <v>1</v>
      </c>
      <c r="I76">
        <f>RTD("tos.rtd", , "ASK_SIZE", A76)</f>
        <v>4</v>
      </c>
      <c r="J76">
        <f>RTD("tos.rtd", , "VOLUME", A76)</f>
        <v>1874290</v>
      </c>
      <c r="K76">
        <f>RTD("tos.rtd", , "OPEN", A76)</f>
        <v>51.73</v>
      </c>
      <c r="L76">
        <f>RTD("tos.rtd", , "HIGH",A76)</f>
        <v>52.15</v>
      </c>
      <c r="M76">
        <f>RTD("tos.rtd", , "LOW", A76)</f>
        <v>51.54</v>
      </c>
      <c r="N76">
        <f>RTD("tos.rtd", , "52HIGH", A76)</f>
        <v>53.84</v>
      </c>
      <c r="O76">
        <f>RTD("tos.rtd", , "52LOW", A76)</f>
        <v>34.11</v>
      </c>
      <c r="P76">
        <f>RTD("tos.rtd", , "Mark", A76)</f>
        <v>51.94</v>
      </c>
    </row>
    <row r="77" spans="1:16" x14ac:dyDescent="0.25">
      <c r="A77" t="s">
        <v>91</v>
      </c>
      <c r="B77">
        <f>RTD("tos.rtd", , "Last", A77)</f>
        <v>125.04</v>
      </c>
      <c r="C77" t="str">
        <f>RTD("tos.rtd", , "STRENGTH_METER", A77)</f>
        <v>Range Bound</v>
      </c>
      <c r="D77" t="str">
        <f>RTD("tos.rtd", , "QUOTE_TREND", A77)</f>
        <v>instrument=BXP</v>
      </c>
      <c r="E77">
        <f>RTD("tos.rtd", , "NET_CHANGE", A77)</f>
        <v>-0.14000000000000001</v>
      </c>
      <c r="F77">
        <f>RTD("tos.rtd", , "BID", A77)</f>
        <v>125.06</v>
      </c>
      <c r="G77">
        <f>RTD("tos.rtd", , "ASK", A77)</f>
        <v>125.14</v>
      </c>
      <c r="H77">
        <f>RTD("tos.rtd", , "BID_SIZE", A77)</f>
        <v>0</v>
      </c>
      <c r="I77">
        <f>RTD("tos.rtd", , "ASK_SIZE", A77)</f>
        <v>1</v>
      </c>
      <c r="J77">
        <f>RTD("tos.rtd", , "VOLUME", A77)</f>
        <v>358215</v>
      </c>
      <c r="K77">
        <f>RTD("tos.rtd", , "OPEN", A77)</f>
        <v>124.56</v>
      </c>
      <c r="L77">
        <f>RTD("tos.rtd", , "HIGH",A77)</f>
        <v>125.49</v>
      </c>
      <c r="M77">
        <f>RTD("tos.rtd", , "LOW", A77)</f>
        <v>124.54</v>
      </c>
      <c r="N77">
        <f>RTD("tos.rtd", , "52HIGH", A77)</f>
        <v>140.13</v>
      </c>
      <c r="O77">
        <f>RTD("tos.rtd", , "52LOW", A77)</f>
        <v>116.77</v>
      </c>
      <c r="P77">
        <f>RTD("tos.rtd", , "Mark", A77)</f>
        <v>125.06</v>
      </c>
    </row>
    <row r="78" spans="1:16" x14ac:dyDescent="0.25">
      <c r="A78" t="s">
        <v>17</v>
      </c>
      <c r="B78">
        <f>RTD("tos.rtd", , "Last", A78)</f>
        <v>71.33</v>
      </c>
      <c r="C78" t="str">
        <f>RTD("tos.rtd", , "STRENGTH_METER", A78)</f>
        <v>Range Bound</v>
      </c>
      <c r="D78" t="str">
        <f>RTD("tos.rtd", , "QUOTE_TREND", A78)</f>
        <v>instrument=C</v>
      </c>
      <c r="E78">
        <f>RTD("tos.rtd", , "NET_CHANGE", A78)</f>
        <v>-0.34</v>
      </c>
      <c r="F78">
        <f>RTD("tos.rtd", , "BID", A78)</f>
        <v>71.39</v>
      </c>
      <c r="G78">
        <f>RTD("tos.rtd", , "ASK", A78)</f>
        <v>71.44</v>
      </c>
      <c r="H78">
        <f>RTD("tos.rtd", , "BID_SIZE", A78)</f>
        <v>1</v>
      </c>
      <c r="I78">
        <f>RTD("tos.rtd", , "ASK_SIZE", A78)</f>
        <v>1</v>
      </c>
      <c r="J78">
        <f>RTD("tos.rtd", , "VOLUME", A78)</f>
        <v>11803179</v>
      </c>
      <c r="K78">
        <f>RTD("tos.rtd", , "OPEN", A78)</f>
        <v>71.16</v>
      </c>
      <c r="L78">
        <f>RTD("tos.rtd", , "HIGH",A78)</f>
        <v>71.83</v>
      </c>
      <c r="M78">
        <f>RTD("tos.rtd", , "LOW", A78)</f>
        <v>70.94</v>
      </c>
      <c r="N78">
        <f>RTD("tos.rtd", , "52HIGH", A78)</f>
        <v>76.14</v>
      </c>
      <c r="O78">
        <f>RTD("tos.rtd", , "52LOW", A78)</f>
        <v>54.21</v>
      </c>
      <c r="P78">
        <f>RTD("tos.rtd", , "Mark", A78)</f>
        <v>71.39</v>
      </c>
    </row>
    <row r="79" spans="1:16" x14ac:dyDescent="0.25">
      <c r="A79" t="s">
        <v>92</v>
      </c>
      <c r="B79">
        <f>RTD("tos.rtd", , "Last", A79)</f>
        <v>32.51</v>
      </c>
      <c r="C79" t="str">
        <f>RTD("tos.rtd", , "STRENGTH_METER", A79)</f>
        <v>Range Bound</v>
      </c>
      <c r="D79" t="str">
        <f>RTD("tos.rtd", , "QUOTE_TREND", A79)</f>
        <v>instrument=CA</v>
      </c>
      <c r="E79">
        <f>RTD("tos.rtd", , "NET_CHANGE", A79)</f>
        <v>-7.0000000000000007E-2</v>
      </c>
      <c r="F79">
        <f>RTD("tos.rtd", , "BID", A79)</f>
        <v>31.4</v>
      </c>
      <c r="G79">
        <f>RTD("tos.rtd", , "ASK", A79)</f>
        <v>32.57</v>
      </c>
      <c r="H79">
        <f>RTD("tos.rtd", , "BID_SIZE", A79)</f>
        <v>1</v>
      </c>
      <c r="I79">
        <f>RTD("tos.rtd", , "ASK_SIZE", A79)</f>
        <v>3</v>
      </c>
      <c r="J79">
        <f>RTD("tos.rtd", , "VOLUME", A79)</f>
        <v>1995167</v>
      </c>
      <c r="K79">
        <f>RTD("tos.rtd", , "OPEN", A79)</f>
        <v>32.57</v>
      </c>
      <c r="L79">
        <f>RTD("tos.rtd", , "HIGH",A79)</f>
        <v>32.619999999999997</v>
      </c>
      <c r="M79">
        <f>RTD("tos.rtd", , "LOW", A79)</f>
        <v>32.26</v>
      </c>
      <c r="N79">
        <f>RTD("tos.rtd", , "52HIGH", A79)</f>
        <v>36.54</v>
      </c>
      <c r="O79">
        <f>RTD("tos.rtd", , "52LOW", A79)</f>
        <v>30.01</v>
      </c>
      <c r="P79">
        <f>RTD("tos.rtd", , "Mark", A79)</f>
        <v>32.51</v>
      </c>
    </row>
    <row r="80" spans="1:16" x14ac:dyDescent="0.25">
      <c r="A80" t="s">
        <v>93</v>
      </c>
      <c r="B80">
        <f>RTD("tos.rtd", , "Last", A80)</f>
        <v>35.71</v>
      </c>
      <c r="C80" t="str">
        <f>RTD("tos.rtd", , "STRENGTH_METER", A80)</f>
        <v>Range Bound</v>
      </c>
      <c r="D80" t="str">
        <f>RTD("tos.rtd", , "QUOTE_TREND", A80)</f>
        <v>instrument=CAG</v>
      </c>
      <c r="E80">
        <f>RTD("tos.rtd", , "NET_CHANGE", A80)</f>
        <v>0.09</v>
      </c>
      <c r="F80">
        <f>RTD("tos.rtd", , "BID", A80)</f>
        <v>33.880000000000003</v>
      </c>
      <c r="G80">
        <f>RTD("tos.rtd", , "ASK", A80)</f>
        <v>35.74</v>
      </c>
      <c r="H80">
        <f>RTD("tos.rtd", , "BID_SIZE", A80)</f>
        <v>1</v>
      </c>
      <c r="I80">
        <f>RTD("tos.rtd", , "ASK_SIZE", A80)</f>
        <v>1</v>
      </c>
      <c r="J80">
        <f>RTD("tos.rtd", , "VOLUME", A80)</f>
        <v>2257597</v>
      </c>
      <c r="K80">
        <f>RTD("tos.rtd", , "OPEN", A80)</f>
        <v>35.44</v>
      </c>
      <c r="L80">
        <f>RTD("tos.rtd", , "HIGH",A80)</f>
        <v>36.1</v>
      </c>
      <c r="M80">
        <f>RTD("tos.rtd", , "LOW", A80)</f>
        <v>35.44</v>
      </c>
      <c r="N80">
        <f>RTD("tos.rtd", , "52HIGH", A80)</f>
        <v>41.68</v>
      </c>
      <c r="O80">
        <f>RTD("tos.rtd", , "52LOW", A80)</f>
        <v>32.159999999999997</v>
      </c>
      <c r="P80">
        <f>RTD("tos.rtd", , "Mark", A80)</f>
        <v>35.71</v>
      </c>
    </row>
    <row r="81" spans="1:16" x14ac:dyDescent="0.25">
      <c r="A81" t="s">
        <v>94</v>
      </c>
      <c r="B81">
        <f>RTD("tos.rtd", , "Last", A81)</f>
        <v>57.51</v>
      </c>
      <c r="C81" t="str">
        <f>RTD("tos.rtd", , "STRENGTH_METER", A81)</f>
        <v>Downtrend</v>
      </c>
      <c r="D81" t="str">
        <f>RTD("tos.rtd", , "QUOTE_TREND", A81)</f>
        <v>instrument=CAH</v>
      </c>
      <c r="E81">
        <f>RTD("tos.rtd", , "NET_CHANGE", A81)</f>
        <v>0.09</v>
      </c>
      <c r="F81">
        <f>RTD("tos.rtd", , "BID", A81)</f>
        <v>56.55</v>
      </c>
      <c r="G81">
        <f>RTD("tos.rtd", , "ASK", A81)</f>
        <v>58.9</v>
      </c>
      <c r="H81">
        <f>RTD("tos.rtd", , "BID_SIZE", A81)</f>
        <v>6</v>
      </c>
      <c r="I81">
        <f>RTD("tos.rtd", , "ASK_SIZE", A81)</f>
        <v>1</v>
      </c>
      <c r="J81">
        <f>RTD("tos.rtd", , "VOLUME", A81)</f>
        <v>3502686</v>
      </c>
      <c r="K81">
        <f>RTD("tos.rtd", , "OPEN", A81)</f>
        <v>57.04</v>
      </c>
      <c r="L81">
        <f>RTD("tos.rtd", , "HIGH",A81)</f>
        <v>58.01</v>
      </c>
      <c r="M81">
        <f>RTD("tos.rtd", , "LOW", A81)</f>
        <v>56.83</v>
      </c>
      <c r="N81">
        <f>RTD("tos.rtd", , "52HIGH", A81)</f>
        <v>84.88</v>
      </c>
      <c r="O81">
        <f>RTD("tos.rtd", , "52LOW", A81)</f>
        <v>55.69</v>
      </c>
      <c r="P81">
        <f>RTD("tos.rtd", , "Mark", A81)</f>
        <v>57.51</v>
      </c>
    </row>
    <row r="82" spans="1:16" x14ac:dyDescent="0.25">
      <c r="A82" t="s">
        <v>95</v>
      </c>
      <c r="B82">
        <f>RTD("tos.rtd", , "Last", A82)</f>
        <v>0</v>
      </c>
      <c r="C82" t="str">
        <f>RTD("tos.rtd", , "STRENGTH_METER", A82)</f>
        <v>N/A</v>
      </c>
      <c r="D82" t="str">
        <f>RTD("tos.rtd", , "QUOTE_TREND", A82)</f>
        <v>instrument=CAM</v>
      </c>
      <c r="E82">
        <f>RTD("tos.rtd", , "NET_CHANGE", A82)</f>
        <v>0</v>
      </c>
      <c r="F82">
        <f>RTD("tos.rtd", , "BID", A82)</f>
        <v>65.849999999999994</v>
      </c>
      <c r="G82">
        <f>RTD("tos.rtd", , "ASK", A82)</f>
        <v>66.19</v>
      </c>
      <c r="H82">
        <f>RTD("tos.rtd", , "BID_SIZE", A82)</f>
        <v>0</v>
      </c>
      <c r="I82">
        <f>RTD("tos.rtd", , "ASK_SIZE", A82)</f>
        <v>0</v>
      </c>
      <c r="J82">
        <f>RTD("tos.rtd", , "VOLUME", A82)</f>
        <v>0</v>
      </c>
      <c r="K82">
        <f>RTD("tos.rtd", , "OPEN", A82)</f>
        <v>0</v>
      </c>
      <c r="L82">
        <f>RTD("tos.rtd", , "HIGH",A82)</f>
        <v>0</v>
      </c>
      <c r="M82">
        <f>RTD("tos.rtd", , "LOW", A82)</f>
        <v>0</v>
      </c>
      <c r="N82">
        <f>RTD("tos.rtd", , "52HIGH", A82)</f>
        <v>71.22</v>
      </c>
      <c r="O82">
        <f>RTD("tos.rtd", , "52LOW", A82)</f>
        <v>40.5</v>
      </c>
      <c r="P82">
        <f>RTD("tos.rtd", , "Mark", A82)</f>
        <v>65.849999999999994</v>
      </c>
    </row>
    <row r="83" spans="1:16" x14ac:dyDescent="0.25">
      <c r="A83" t="s">
        <v>96</v>
      </c>
      <c r="B83">
        <f>RTD("tos.rtd", , "Last", A83)</f>
        <v>136.13</v>
      </c>
      <c r="C83" t="str">
        <f>RTD("tos.rtd", , "STRENGTH_METER", A83)</f>
        <v>Range Bound</v>
      </c>
      <c r="D83" t="str">
        <f>RTD("tos.rtd", , "QUOTE_TREND", A83)</f>
        <v>instrument=CAT</v>
      </c>
      <c r="E83">
        <f>RTD("tos.rtd", , "NET_CHANGE", A83)</f>
        <v>-0.23</v>
      </c>
      <c r="F83">
        <f>RTD("tos.rtd", , "BID", A83)</f>
        <v>135.88999999999999</v>
      </c>
      <c r="G83">
        <f>RTD("tos.rtd", , "ASK", A83)</f>
        <v>136.26</v>
      </c>
      <c r="H83">
        <f>RTD("tos.rtd", , "BID_SIZE", A83)</f>
        <v>4</v>
      </c>
      <c r="I83">
        <f>RTD("tos.rtd", , "ASK_SIZE", A83)</f>
        <v>1</v>
      </c>
      <c r="J83">
        <f>RTD("tos.rtd", , "VOLUME", A83)</f>
        <v>2308033</v>
      </c>
      <c r="K83">
        <f>RTD("tos.rtd", , "OPEN", A83)</f>
        <v>135.80000000000001</v>
      </c>
      <c r="L83">
        <f>RTD("tos.rtd", , "HIGH",A83)</f>
        <v>136.36000000000001</v>
      </c>
      <c r="M83">
        <f>RTD("tos.rtd", , "LOW", A83)</f>
        <v>135.02000000000001</v>
      </c>
      <c r="N83">
        <f>RTD("tos.rtd", , "52HIGH", A83)</f>
        <v>140.43899999999999</v>
      </c>
      <c r="O83">
        <f>RTD("tos.rtd", , "52LOW", A83)</f>
        <v>90.34</v>
      </c>
      <c r="P83">
        <f>RTD("tos.rtd", , "Mark", A83)</f>
        <v>136.13</v>
      </c>
    </row>
    <row r="84" spans="1:16" x14ac:dyDescent="0.25">
      <c r="A84" t="s">
        <v>97</v>
      </c>
      <c r="B84">
        <f>RTD("tos.rtd", , "Last", A84)</f>
        <v>148.63</v>
      </c>
      <c r="C84" t="str">
        <f>RTD("tos.rtd", , "STRENGTH_METER", A84)</f>
        <v>Range Bound</v>
      </c>
      <c r="D84" t="str">
        <f>RTD("tos.rtd", , "QUOTE_TREND", A84)</f>
        <v>instrument=CB</v>
      </c>
      <c r="E84">
        <f>RTD("tos.rtd", , "NET_CHANGE", A84)</f>
        <v>-0.23</v>
      </c>
      <c r="F84">
        <f>RTD("tos.rtd", , "BID", A84)</f>
        <v>129.29</v>
      </c>
      <c r="G84">
        <f>RTD("tos.rtd", , "ASK", A84)</f>
        <v>149.55000000000001</v>
      </c>
      <c r="H84">
        <f>RTD("tos.rtd", , "BID_SIZE", A84)</f>
        <v>1</v>
      </c>
      <c r="I84">
        <f>RTD("tos.rtd", , "ASK_SIZE", A84)</f>
        <v>2</v>
      </c>
      <c r="J84">
        <f>RTD("tos.rtd", , "VOLUME", A84)</f>
        <v>962843</v>
      </c>
      <c r="K84">
        <f>RTD("tos.rtd", , "OPEN", A84)</f>
        <v>148.19</v>
      </c>
      <c r="L84">
        <f>RTD("tos.rtd", , "HIGH",A84)</f>
        <v>149.16</v>
      </c>
      <c r="M84">
        <f>RTD("tos.rtd", , "LOW", A84)</f>
        <v>147.97999999999999</v>
      </c>
      <c r="N84">
        <f>RTD("tos.rtd", , "52HIGH", A84)</f>
        <v>156</v>
      </c>
      <c r="O84">
        <f>RTD("tos.rtd", , "52LOW", A84)</f>
        <v>124.1</v>
      </c>
      <c r="P84">
        <f>RTD("tos.rtd", , "Mark", A84)</f>
        <v>148.63</v>
      </c>
    </row>
    <row r="85" spans="1:16" x14ac:dyDescent="0.25">
      <c r="A85" t="s">
        <v>98</v>
      </c>
      <c r="B85">
        <f>RTD("tos.rtd", , "Last", A85)</f>
        <v>42.78</v>
      </c>
      <c r="C85" t="str">
        <f>RTD("tos.rtd", , "STRENGTH_METER", A85)</f>
        <v>Range Bound</v>
      </c>
      <c r="D85" t="str">
        <f>RTD("tos.rtd", , "QUOTE_TREND", A85)</f>
        <v>instrument=CBG</v>
      </c>
      <c r="E85">
        <f>RTD("tos.rtd", , "NET_CHANGE", A85)</f>
        <v>-0.21</v>
      </c>
      <c r="F85">
        <f>RTD("tos.rtd", , "BID", A85)</f>
        <v>42.65</v>
      </c>
      <c r="G85">
        <f>RTD("tos.rtd", , "ASK", A85)</f>
        <v>42.82</v>
      </c>
      <c r="H85">
        <f>RTD("tos.rtd", , "BID_SIZE", A85)</f>
        <v>2</v>
      </c>
      <c r="I85">
        <f>RTD("tos.rtd", , "ASK_SIZE", A85)</f>
        <v>2</v>
      </c>
      <c r="J85">
        <f>RTD("tos.rtd", , "VOLUME", A85)</f>
        <v>1578766</v>
      </c>
      <c r="K85">
        <f>RTD("tos.rtd", , "OPEN", A85)</f>
        <v>42.65</v>
      </c>
      <c r="L85">
        <f>RTD("tos.rtd", , "HIGH",A85)</f>
        <v>43.16</v>
      </c>
      <c r="M85">
        <f>RTD("tos.rtd", , "LOW", A85)</f>
        <v>42.61</v>
      </c>
      <c r="N85">
        <f>RTD("tos.rtd", , "52HIGH", A85)</f>
        <v>43.35</v>
      </c>
      <c r="O85">
        <f>RTD("tos.rtd", , "52LOW", A85)</f>
        <v>27.68</v>
      </c>
      <c r="P85">
        <f>RTD("tos.rtd", , "Mark", A85)</f>
        <v>42.78</v>
      </c>
    </row>
    <row r="86" spans="1:16" x14ac:dyDescent="0.25">
      <c r="A86" t="s">
        <v>99</v>
      </c>
      <c r="B86">
        <f>RTD("tos.rtd", , "Last", A86)</f>
        <v>56.74</v>
      </c>
      <c r="C86" t="str">
        <f>RTD("tos.rtd", , "STRENGTH_METER", A86)</f>
        <v>Range Bound</v>
      </c>
      <c r="D86" t="str">
        <f>RTD("tos.rtd", , "QUOTE_TREND", A86)</f>
        <v>instrument=CBS</v>
      </c>
      <c r="E86">
        <f>RTD("tos.rtd", , "NET_CHANGE", A86)</f>
        <v>0.34</v>
      </c>
      <c r="F86">
        <f>RTD("tos.rtd", , "BID", A86)</f>
        <v>56.73</v>
      </c>
      <c r="G86">
        <f>RTD("tos.rtd", , "ASK", A86)</f>
        <v>57.73</v>
      </c>
      <c r="H86">
        <f>RTD("tos.rtd", , "BID_SIZE", A86)</f>
        <v>1</v>
      </c>
      <c r="I86">
        <f>RTD("tos.rtd", , "ASK_SIZE", A86)</f>
        <v>1</v>
      </c>
      <c r="J86">
        <f>RTD("tos.rtd", , "VOLUME", A86)</f>
        <v>29721559</v>
      </c>
      <c r="K86">
        <f>RTD("tos.rtd", , "OPEN", A86)</f>
        <v>56.3</v>
      </c>
      <c r="L86">
        <f>RTD("tos.rtd", , "HIGH",A86)</f>
        <v>57.25</v>
      </c>
      <c r="M86">
        <f>RTD("tos.rtd", , "LOW", A86)</f>
        <v>55.16</v>
      </c>
      <c r="N86">
        <f>RTD("tos.rtd", , "52HIGH", A86)</f>
        <v>70.094999999999999</v>
      </c>
      <c r="O86">
        <f>RTD("tos.rtd", , "52LOW", A86)</f>
        <v>52.75</v>
      </c>
      <c r="P86">
        <f>RTD("tos.rtd", , "Mark", A86)</f>
        <v>56.74</v>
      </c>
    </row>
    <row r="87" spans="1:16" x14ac:dyDescent="0.25">
      <c r="A87" t="s">
        <v>100</v>
      </c>
      <c r="B87">
        <f>RTD("tos.rtd", , "Last", A87)</f>
        <v>38.18</v>
      </c>
      <c r="C87" t="str">
        <f>RTD("tos.rtd", , "STRENGTH_METER", A87)</f>
        <v>Range Bound</v>
      </c>
      <c r="D87" t="str">
        <f>RTD("tos.rtd", , "QUOTE_TREND", A87)</f>
        <v>instrument=CCE</v>
      </c>
      <c r="E87">
        <f>RTD("tos.rtd", , "NET_CHANGE", A87)</f>
        <v>-0.14000000000000001</v>
      </c>
      <c r="F87">
        <f>RTD("tos.rtd", , "BID", A87)</f>
        <v>35.229999999999997</v>
      </c>
      <c r="G87">
        <f>RTD("tos.rtd", , "ASK", A87)</f>
        <v>41.14</v>
      </c>
      <c r="H87">
        <f>RTD("tos.rtd", , "BID_SIZE", A87)</f>
        <v>1</v>
      </c>
      <c r="I87">
        <f>RTD("tos.rtd", , "ASK_SIZE", A87)</f>
        <v>1</v>
      </c>
      <c r="J87">
        <f>RTD("tos.rtd", , "VOLUME", A87)</f>
        <v>1020137</v>
      </c>
      <c r="K87">
        <f>RTD("tos.rtd", , "OPEN", A87)</f>
        <v>38.1</v>
      </c>
      <c r="L87">
        <f>RTD("tos.rtd", , "HIGH",A87)</f>
        <v>38.380000000000003</v>
      </c>
      <c r="M87">
        <f>RTD("tos.rtd", , "LOW", A87)</f>
        <v>38.049999999999997</v>
      </c>
      <c r="N87">
        <f>RTD("tos.rtd", , "52HIGH", A87)</f>
        <v>44.75</v>
      </c>
      <c r="O87">
        <f>RTD("tos.rtd", , "52LOW", A87)</f>
        <v>30.55</v>
      </c>
      <c r="P87">
        <f>RTD("tos.rtd", , "Mark", A87)</f>
        <v>38.18</v>
      </c>
    </row>
    <row r="88" spans="1:16" x14ac:dyDescent="0.25">
      <c r="A88" t="s">
        <v>101</v>
      </c>
      <c r="B88">
        <f>RTD("tos.rtd", , "Last", A88)</f>
        <v>110.02</v>
      </c>
      <c r="C88" t="str">
        <f>RTD("tos.rtd", , "STRENGTH_METER", A88)</f>
        <v>Range Bound</v>
      </c>
      <c r="D88" t="str">
        <f>RTD("tos.rtd", , "QUOTE_TREND", A88)</f>
        <v>instrument=CCI</v>
      </c>
      <c r="E88">
        <f>RTD("tos.rtd", , "NET_CHANGE", A88)</f>
        <v>-1.1000000000000001</v>
      </c>
      <c r="F88">
        <f>RTD("tos.rtd", , "BID", A88)</f>
        <v>110.03</v>
      </c>
      <c r="G88">
        <f>RTD("tos.rtd", , "ASK", A88)</f>
        <v>112.28</v>
      </c>
      <c r="H88">
        <f>RTD("tos.rtd", , "BID_SIZE", A88)</f>
        <v>2</v>
      </c>
      <c r="I88">
        <f>RTD("tos.rtd", , "ASK_SIZE", A88)</f>
        <v>1</v>
      </c>
      <c r="J88">
        <f>RTD("tos.rtd", , "VOLUME", A88)</f>
        <v>2639248</v>
      </c>
      <c r="K88">
        <f>RTD("tos.rtd", , "OPEN", A88)</f>
        <v>110.52</v>
      </c>
      <c r="L88">
        <f>RTD("tos.rtd", , "HIGH",A88)</f>
        <v>111.45</v>
      </c>
      <c r="M88">
        <f>RTD("tos.rtd", , "LOW", A88)</f>
        <v>109.79</v>
      </c>
      <c r="N88">
        <f>RTD("tos.rtd", , "52HIGH", A88)</f>
        <v>114.97</v>
      </c>
      <c r="O88">
        <f>RTD("tos.rtd", , "52LOW", A88)</f>
        <v>80.819999999999993</v>
      </c>
      <c r="P88">
        <f>RTD("tos.rtd", , "Mark", A88)</f>
        <v>110.03</v>
      </c>
    </row>
    <row r="89" spans="1:16" x14ac:dyDescent="0.25">
      <c r="A89" t="s">
        <v>102</v>
      </c>
      <c r="B89">
        <f>RTD("tos.rtd", , "Last", A89)</f>
        <v>66.22</v>
      </c>
      <c r="C89" t="str">
        <f>RTD("tos.rtd", , "STRENGTH_METER", A89)</f>
        <v>Range Bound</v>
      </c>
      <c r="D89" t="str">
        <f>RTD("tos.rtd", , "QUOTE_TREND", A89)</f>
        <v>instrument=CCL</v>
      </c>
      <c r="E89">
        <f>RTD("tos.rtd", , "NET_CHANGE", A89)</f>
        <v>0.4</v>
      </c>
      <c r="F89">
        <f>RTD("tos.rtd", , "BID", A89)</f>
        <v>65.33</v>
      </c>
      <c r="G89">
        <f>RTD("tos.rtd", , "ASK", A89)</f>
        <v>67.040000000000006</v>
      </c>
      <c r="H89">
        <f>RTD("tos.rtd", , "BID_SIZE", A89)</f>
        <v>1</v>
      </c>
      <c r="I89">
        <f>RTD("tos.rtd", , "ASK_SIZE", A89)</f>
        <v>1</v>
      </c>
      <c r="J89">
        <f>RTD("tos.rtd", , "VOLUME", A89)</f>
        <v>1838107</v>
      </c>
      <c r="K89">
        <f>RTD("tos.rtd", , "OPEN", A89)</f>
        <v>65.790000000000006</v>
      </c>
      <c r="L89">
        <f>RTD("tos.rtd", , "HIGH",A89)</f>
        <v>66.31</v>
      </c>
      <c r="M89">
        <f>RTD("tos.rtd", , "LOW", A89)</f>
        <v>65.61</v>
      </c>
      <c r="N89">
        <f>RTD("tos.rtd", , "52HIGH", A89)</f>
        <v>69.89</v>
      </c>
      <c r="O89">
        <f>RTD("tos.rtd", , "52LOW", A89)</f>
        <v>49.73</v>
      </c>
      <c r="P89">
        <f>RTD("tos.rtd", , "Mark", A89)</f>
        <v>66.22</v>
      </c>
    </row>
    <row r="90" spans="1:16" x14ac:dyDescent="0.25">
      <c r="A90" t="s">
        <v>103</v>
      </c>
      <c r="B90">
        <f>RTD("tos.rtd", , "Last", A90)</f>
        <v>104.1</v>
      </c>
      <c r="C90" t="str">
        <f>RTD("tos.rtd", , "STRENGTH_METER", A90)</f>
        <v>Downtrend</v>
      </c>
      <c r="D90" t="str">
        <f>RTD("tos.rtd", , "QUOTE_TREND", A90)</f>
        <v>instrument=CELG</v>
      </c>
      <c r="E90">
        <f>RTD("tos.rtd", , "NET_CHANGE", A90)</f>
        <v>0.75</v>
      </c>
      <c r="F90">
        <f>RTD("tos.rtd", , "BID", A90)</f>
        <v>103.7</v>
      </c>
      <c r="G90">
        <f>RTD("tos.rtd", , "ASK", A90)</f>
        <v>104.1</v>
      </c>
      <c r="H90">
        <f>RTD("tos.rtd", , "BID_SIZE", A90)</f>
        <v>1</v>
      </c>
      <c r="I90">
        <f>RTD("tos.rtd", , "ASK_SIZE", A90)</f>
        <v>1</v>
      </c>
      <c r="J90">
        <f>RTD("tos.rtd", , "VOLUME", A90)</f>
        <v>5835635</v>
      </c>
      <c r="K90">
        <f>RTD("tos.rtd", , "OPEN", A90)</f>
        <v>103.49</v>
      </c>
      <c r="L90">
        <f>RTD("tos.rtd", , "HIGH",A90)</f>
        <v>104.59</v>
      </c>
      <c r="M90">
        <f>RTD("tos.rtd", , "LOW", A90)</f>
        <v>103.24</v>
      </c>
      <c r="N90">
        <f>RTD("tos.rtd", , "52HIGH", A90)</f>
        <v>147.16999999999999</v>
      </c>
      <c r="O90">
        <f>RTD("tos.rtd", , "52LOW", A90)</f>
        <v>94.551299999999998</v>
      </c>
      <c r="P90">
        <f>RTD("tos.rtd", , "Mark", A90)</f>
        <v>104.1</v>
      </c>
    </row>
    <row r="91" spans="1:16" x14ac:dyDescent="0.25">
      <c r="A91" t="s">
        <v>104</v>
      </c>
      <c r="B91">
        <f>RTD("tos.rtd", , "Last", A91)</f>
        <v>65.400000000000006</v>
      </c>
      <c r="C91" t="str">
        <f>RTD("tos.rtd", , "STRENGTH_METER", A91)</f>
        <v>Range Bound</v>
      </c>
      <c r="D91" t="str">
        <f>RTD("tos.rtd", , "QUOTE_TREND", A91)</f>
        <v>instrument=CERN</v>
      </c>
      <c r="E91">
        <f>RTD("tos.rtd", , "NET_CHANGE", A91)</f>
        <v>-0.14000000000000001</v>
      </c>
      <c r="F91">
        <f>RTD("tos.rtd", , "BID", A91)</f>
        <v>63.84</v>
      </c>
      <c r="G91">
        <f>RTD("tos.rtd", , "ASK", A91)</f>
        <v>66.489999999999995</v>
      </c>
      <c r="H91">
        <f>RTD("tos.rtd", , "BID_SIZE", A91)</f>
        <v>2</v>
      </c>
      <c r="I91">
        <f>RTD("tos.rtd", , "ASK_SIZE", A91)</f>
        <v>1</v>
      </c>
      <c r="J91">
        <f>RTD("tos.rtd", , "VOLUME", A91)</f>
        <v>1654815</v>
      </c>
      <c r="K91">
        <f>RTD("tos.rtd", , "OPEN", A91)</f>
        <v>65.53</v>
      </c>
      <c r="L91">
        <f>RTD("tos.rtd", , "HIGH",A91)</f>
        <v>66.099999999999994</v>
      </c>
      <c r="M91">
        <f>RTD("tos.rtd", , "LOW", A91)</f>
        <v>65.08</v>
      </c>
      <c r="N91">
        <f>RTD("tos.rtd", , "52HIGH", A91)</f>
        <v>73.86</v>
      </c>
      <c r="O91">
        <f>RTD("tos.rtd", , "52LOW", A91)</f>
        <v>47.01</v>
      </c>
      <c r="P91">
        <f>RTD("tos.rtd", , "Mark", A91)</f>
        <v>65.400000000000006</v>
      </c>
    </row>
    <row r="92" spans="1:16" x14ac:dyDescent="0.25">
      <c r="A92" t="s">
        <v>105</v>
      </c>
      <c r="B92">
        <f>RTD("tos.rtd", , "Last", A92)</f>
        <v>35.479999999999997</v>
      </c>
      <c r="C92" t="str">
        <f>RTD("tos.rtd", , "STRENGTH_METER", A92)</f>
        <v>Range Bound</v>
      </c>
      <c r="D92" t="str">
        <f>RTD("tos.rtd", , "QUOTE_TREND", A92)</f>
        <v>instrument=CF</v>
      </c>
      <c r="E92">
        <f>RTD("tos.rtd", , "NET_CHANGE", A92)</f>
        <v>-0.69</v>
      </c>
      <c r="F92">
        <f>RTD("tos.rtd", , "BID", A92)</f>
        <v>34.700000000000003</v>
      </c>
      <c r="G92">
        <f>RTD("tos.rtd", , "ASK", A92)</f>
        <v>36.159999999999997</v>
      </c>
      <c r="H92">
        <f>RTD("tos.rtd", , "BID_SIZE", A92)</f>
        <v>1</v>
      </c>
      <c r="I92">
        <f>RTD("tos.rtd", , "ASK_SIZE", A92)</f>
        <v>1</v>
      </c>
      <c r="J92">
        <f>RTD("tos.rtd", , "VOLUME", A92)</f>
        <v>4302951</v>
      </c>
      <c r="K92">
        <f>RTD("tos.rtd", , "OPEN", A92)</f>
        <v>35.89</v>
      </c>
      <c r="L92">
        <f>RTD("tos.rtd", , "HIGH",A92)</f>
        <v>36.04</v>
      </c>
      <c r="M92">
        <f>RTD("tos.rtd", , "LOW", A92)</f>
        <v>35.25</v>
      </c>
      <c r="N92">
        <f>RTD("tos.rtd", , "52HIGH", A92)</f>
        <v>39.32</v>
      </c>
      <c r="O92">
        <f>RTD("tos.rtd", , "52LOW", A92)</f>
        <v>25.04</v>
      </c>
      <c r="P92">
        <f>RTD("tos.rtd", , "Mark", A92)</f>
        <v>35.479999999999997</v>
      </c>
    </row>
    <row r="93" spans="1:16" x14ac:dyDescent="0.25">
      <c r="A93" t="s">
        <v>106</v>
      </c>
      <c r="B93" t="str">
        <f>RTD("tos.rtd", , "Last", A93)</f>
        <v>N/A</v>
      </c>
      <c r="C93" t="str">
        <f>RTD("tos.rtd", , "STRENGTH_METER", A93)</f>
        <v>N/A</v>
      </c>
      <c r="D93" t="str">
        <f>RTD("tos.rtd", , "QUOTE_TREND", A93)</f>
        <v>instrument=CFN</v>
      </c>
      <c r="E93" t="str">
        <f>RTD("tos.rtd", , "NET_CHANGE", A93)</f>
        <v>N/A</v>
      </c>
      <c r="F93" t="str">
        <f>RTD("tos.rtd", , "BID", A93)</f>
        <v>N/A</v>
      </c>
      <c r="G93" t="str">
        <f>RTD("tos.rtd", , "ASK", A93)</f>
        <v>N/A</v>
      </c>
      <c r="H93">
        <f>RTD("tos.rtd", , "BID_SIZE", A93)</f>
        <v>0</v>
      </c>
      <c r="I93">
        <f>RTD("tos.rtd", , "ASK_SIZE", A93)</f>
        <v>0</v>
      </c>
      <c r="J93" t="str">
        <f>RTD("tos.rtd", , "VOLUME", A93)</f>
        <v>N/A</v>
      </c>
      <c r="K93" t="str">
        <f>RTD("tos.rtd", , "OPEN", A93)</f>
        <v>N/A</v>
      </c>
      <c r="L93" t="str">
        <f>RTD("tos.rtd", , "HIGH",A93)</f>
        <v>N/A</v>
      </c>
      <c r="M93" t="str">
        <f>RTD("tos.rtd", , "LOW", A93)</f>
        <v>N/A</v>
      </c>
      <c r="N93" t="str">
        <f>RTD("tos.rtd", , "52HIGH", A93)</f>
        <v>N/A</v>
      </c>
      <c r="O93" t="str">
        <f>RTD("tos.rtd", , "52LOW", A93)</f>
        <v>N/A</v>
      </c>
      <c r="P93" t="str">
        <f>RTD("tos.rtd", , "Mark", A93)</f>
        <v>N/A</v>
      </c>
    </row>
    <row r="94" spans="1:16" x14ac:dyDescent="0.25">
      <c r="A94" t="s">
        <v>107</v>
      </c>
      <c r="B94">
        <f>RTD("tos.rtd", , "Last", A94)</f>
        <v>4.0199999999999996</v>
      </c>
      <c r="C94" t="str">
        <f>RTD("tos.rtd", , "STRENGTH_METER", A94)</f>
        <v>Uptrend</v>
      </c>
      <c r="D94" t="str">
        <f>RTD("tos.rtd", , "QUOTE_TREND", A94)</f>
        <v>instrument=CHK</v>
      </c>
      <c r="E94">
        <f>RTD("tos.rtd", , "NET_CHANGE", A94)</f>
        <v>0.17</v>
      </c>
      <c r="F94">
        <f>RTD("tos.rtd", , "BID", A94)</f>
        <v>4</v>
      </c>
      <c r="G94">
        <f>RTD("tos.rtd", , "ASK", A94)</f>
        <v>4.01</v>
      </c>
      <c r="H94">
        <f>RTD("tos.rtd", , "BID_SIZE", A94)</f>
        <v>50</v>
      </c>
      <c r="I94">
        <f>RTD("tos.rtd", , "ASK_SIZE", A94)</f>
        <v>327</v>
      </c>
      <c r="J94">
        <f>RTD("tos.rtd", , "VOLUME", A94)</f>
        <v>21734985</v>
      </c>
      <c r="K94">
        <f>RTD("tos.rtd", , "OPEN", A94)</f>
        <v>3.9</v>
      </c>
      <c r="L94">
        <f>RTD("tos.rtd", , "HIGH",A94)</f>
        <v>4.05</v>
      </c>
      <c r="M94">
        <f>RTD("tos.rtd", , "LOW", A94)</f>
        <v>3.89</v>
      </c>
      <c r="N94">
        <f>RTD("tos.rtd", , "52HIGH", A94)</f>
        <v>8.1999999999999993</v>
      </c>
      <c r="O94">
        <f>RTD("tos.rtd", , "52LOW", A94)</f>
        <v>3.41</v>
      </c>
      <c r="P94">
        <f>RTD("tos.rtd", , "Mark", A94)</f>
        <v>4.01</v>
      </c>
    </row>
    <row r="95" spans="1:16" x14ac:dyDescent="0.25">
      <c r="A95" t="s">
        <v>108</v>
      </c>
      <c r="B95">
        <f>RTD("tos.rtd", , "Last", A95)</f>
        <v>78.44</v>
      </c>
      <c r="C95" t="str">
        <f>RTD("tos.rtd", , "STRENGTH_METER", A95)</f>
        <v>Range Bound</v>
      </c>
      <c r="D95" t="str">
        <f>RTD("tos.rtd", , "QUOTE_TREND", A95)</f>
        <v>instrument=CHRW</v>
      </c>
      <c r="E95">
        <f>RTD("tos.rtd", , "NET_CHANGE", A95)</f>
        <v>-1.96</v>
      </c>
      <c r="F95">
        <f>RTD("tos.rtd", , "BID", A95)</f>
        <v>76.5</v>
      </c>
      <c r="G95">
        <f>RTD("tos.rtd", , "ASK", A95)</f>
        <v>78.489999999999995</v>
      </c>
      <c r="H95">
        <f>RTD("tos.rtd", , "BID_SIZE", A95)</f>
        <v>1</v>
      </c>
      <c r="I95">
        <f>RTD("tos.rtd", , "ASK_SIZE", A95)</f>
        <v>1</v>
      </c>
      <c r="J95">
        <f>RTD("tos.rtd", , "VOLUME", A95)</f>
        <v>2565417</v>
      </c>
      <c r="K95">
        <f>RTD("tos.rtd", , "OPEN", A95)</f>
        <v>78.75</v>
      </c>
      <c r="L95">
        <f>RTD("tos.rtd", , "HIGH",A95)</f>
        <v>79.309899999999999</v>
      </c>
      <c r="M95">
        <f>RTD("tos.rtd", , "LOW", A95)</f>
        <v>77.52</v>
      </c>
      <c r="N95">
        <f>RTD("tos.rtd", , "52HIGH", A95)</f>
        <v>81.349999999999994</v>
      </c>
      <c r="O95">
        <f>RTD("tos.rtd", , "52LOW", A95)</f>
        <v>63.41</v>
      </c>
      <c r="P95">
        <f>RTD("tos.rtd", , "Mark", A95)</f>
        <v>78.44</v>
      </c>
    </row>
    <row r="96" spans="1:16" x14ac:dyDescent="0.25">
      <c r="A96" t="s">
        <v>109</v>
      </c>
      <c r="B96">
        <f>RTD("tos.rtd", , "Last", A96)</f>
        <v>197.97</v>
      </c>
      <c r="C96" t="str">
        <f>RTD("tos.rtd", , "STRENGTH_METER", A96)</f>
        <v>Range Bound</v>
      </c>
      <c r="D96" t="str">
        <f>RTD("tos.rtd", , "QUOTE_TREND", A96)</f>
        <v>instrument=CI</v>
      </c>
      <c r="E96">
        <f>RTD("tos.rtd", , "NET_CHANGE", A96)</f>
        <v>-3</v>
      </c>
      <c r="F96">
        <f>RTD("tos.rtd", , "BID", A96)</f>
        <v>193.5</v>
      </c>
      <c r="G96">
        <f>RTD("tos.rtd", , "ASK", A96)</f>
        <v>198</v>
      </c>
      <c r="H96">
        <f>RTD("tos.rtd", , "BID_SIZE", A96)</f>
        <v>1</v>
      </c>
      <c r="I96">
        <f>RTD("tos.rtd", , "ASK_SIZE", A96)</f>
        <v>0</v>
      </c>
      <c r="J96">
        <f>RTD("tos.rtd", , "VOLUME", A96)</f>
        <v>960309</v>
      </c>
      <c r="K96">
        <f>RTD("tos.rtd", , "OPEN", A96)</f>
        <v>199.91</v>
      </c>
      <c r="L96">
        <f>RTD("tos.rtd", , "HIGH",A96)</f>
        <v>200.21</v>
      </c>
      <c r="M96">
        <f>RTD("tos.rtd", , "LOW", A96)</f>
        <v>197.77</v>
      </c>
      <c r="N96">
        <f>RTD("tos.rtd", , "52HIGH", A96)</f>
        <v>206.45</v>
      </c>
      <c r="O96">
        <f>RTD("tos.rtd", , "52LOW", A96)</f>
        <v>131.03</v>
      </c>
      <c r="P96">
        <f>RTD("tos.rtd", , "Mark", A96)</f>
        <v>197.97</v>
      </c>
    </row>
    <row r="97" spans="1:16" x14ac:dyDescent="0.25">
      <c r="A97" t="s">
        <v>110</v>
      </c>
      <c r="B97">
        <f>RTD("tos.rtd", , "Last", A97)</f>
        <v>73.459999999999994</v>
      </c>
      <c r="C97" t="str">
        <f>RTD("tos.rtd", , "STRENGTH_METER", A97)</f>
        <v>Range Bound</v>
      </c>
      <c r="D97" t="str">
        <f>RTD("tos.rtd", , "QUOTE_TREND", A97)</f>
        <v>instrument=CINF</v>
      </c>
      <c r="E97">
        <f>RTD("tos.rtd", , "NET_CHANGE", A97)</f>
        <v>-0.13</v>
      </c>
      <c r="F97">
        <f>RTD("tos.rtd", , "BID", A97)</f>
        <v>69.48</v>
      </c>
      <c r="G97">
        <f>RTD("tos.rtd", , "ASK", A97)</f>
        <v>75</v>
      </c>
      <c r="H97">
        <f>RTD("tos.rtd", , "BID_SIZE", A97)</f>
        <v>0</v>
      </c>
      <c r="I97">
        <f>RTD("tos.rtd", , "ASK_SIZE", A97)</f>
        <v>7</v>
      </c>
      <c r="J97">
        <f>RTD("tos.rtd", , "VOLUME", A97)</f>
        <v>2565890</v>
      </c>
      <c r="K97">
        <f>RTD("tos.rtd", , "OPEN", A97)</f>
        <v>73.92</v>
      </c>
      <c r="L97">
        <f>RTD("tos.rtd", , "HIGH",A97)</f>
        <v>73.92</v>
      </c>
      <c r="M97">
        <f>RTD("tos.rtd", , "LOW", A97)</f>
        <v>73.16</v>
      </c>
      <c r="N97">
        <f>RTD("tos.rtd", , "52HIGH", A97)</f>
        <v>81.98</v>
      </c>
      <c r="O97">
        <f>RTD("tos.rtd", , "52LOW", A97)</f>
        <v>68.239999999999995</v>
      </c>
      <c r="P97">
        <f>RTD("tos.rtd", , "Mark", A97)</f>
        <v>73.459999999999994</v>
      </c>
    </row>
    <row r="98" spans="1:16" x14ac:dyDescent="0.25">
      <c r="A98" t="s">
        <v>111</v>
      </c>
      <c r="B98">
        <f>RTD("tos.rtd", , "Last", A98)</f>
        <v>71.89</v>
      </c>
      <c r="C98" t="str">
        <f>RTD("tos.rtd", , "STRENGTH_METER", A98)</f>
        <v>Range Bound</v>
      </c>
      <c r="D98" t="str">
        <f>RTD("tos.rtd", , "QUOTE_TREND", A98)</f>
        <v>instrument=CL</v>
      </c>
      <c r="E98">
        <f>RTD("tos.rtd", , "NET_CHANGE", A98)</f>
        <v>-0.74</v>
      </c>
      <c r="F98">
        <f>RTD("tos.rtd", , "BID", A98)</f>
        <v>71.83</v>
      </c>
      <c r="G98">
        <f>RTD("tos.rtd", , "ASK", A98)</f>
        <v>72.03</v>
      </c>
      <c r="H98">
        <f>RTD("tos.rtd", , "BID_SIZE", A98)</f>
        <v>1</v>
      </c>
      <c r="I98">
        <f>RTD("tos.rtd", , "ASK_SIZE", A98)</f>
        <v>1</v>
      </c>
      <c r="J98">
        <f>RTD("tos.rtd", , "VOLUME", A98)</f>
        <v>4616543</v>
      </c>
      <c r="K98">
        <f>RTD("tos.rtd", , "OPEN", A98)</f>
        <v>72.31</v>
      </c>
      <c r="L98">
        <f>RTD("tos.rtd", , "HIGH",A98)</f>
        <v>72.62</v>
      </c>
      <c r="M98">
        <f>RTD("tos.rtd", , "LOW", A98)</f>
        <v>71.78</v>
      </c>
      <c r="N98">
        <f>RTD("tos.rtd", , "52HIGH", A98)</f>
        <v>77.27</v>
      </c>
      <c r="O98">
        <f>RTD("tos.rtd", , "52LOW", A98)</f>
        <v>63.43</v>
      </c>
      <c r="P98">
        <f>RTD("tos.rtd", , "Mark", A98)</f>
        <v>71.89</v>
      </c>
    </row>
    <row r="99" spans="1:16" x14ac:dyDescent="0.25">
      <c r="A99" t="s">
        <v>112</v>
      </c>
      <c r="B99">
        <f>RTD("tos.rtd", , "Last", A99)</f>
        <v>6.13</v>
      </c>
      <c r="C99" t="str">
        <f>RTD("tos.rtd", , "STRENGTH_METER", A99)</f>
        <v>Downtrend</v>
      </c>
      <c r="D99" t="str">
        <f>RTD("tos.rtd", , "QUOTE_TREND", A99)</f>
        <v>instrument=CLF</v>
      </c>
      <c r="E99">
        <f>RTD("tos.rtd", , "NET_CHANGE", A99)</f>
        <v>0.11</v>
      </c>
      <c r="F99">
        <f>RTD("tos.rtd", , "BID", A99)</f>
        <v>6.07</v>
      </c>
      <c r="G99">
        <f>RTD("tos.rtd", , "ASK", A99)</f>
        <v>6.13</v>
      </c>
      <c r="H99">
        <f>RTD("tos.rtd", , "BID_SIZE", A99)</f>
        <v>55</v>
      </c>
      <c r="I99">
        <f>RTD("tos.rtd", , "ASK_SIZE", A99)</f>
        <v>5</v>
      </c>
      <c r="J99">
        <f>RTD("tos.rtd", , "VOLUME", A99)</f>
        <v>6020101</v>
      </c>
      <c r="K99">
        <f>RTD("tos.rtd", , "OPEN", A99)</f>
        <v>5.99</v>
      </c>
      <c r="L99">
        <f>RTD("tos.rtd", , "HIGH",A99)</f>
        <v>6.18</v>
      </c>
      <c r="M99">
        <f>RTD("tos.rtd", , "LOW", A99)</f>
        <v>5.96</v>
      </c>
      <c r="N99">
        <f>RTD("tos.rtd", , "52HIGH", A99)</f>
        <v>12.37</v>
      </c>
      <c r="O99">
        <f>RTD("tos.rtd", , "52LOW", A99)</f>
        <v>5.56</v>
      </c>
      <c r="P99">
        <f>RTD("tos.rtd", , "Mark", A99)</f>
        <v>6.13</v>
      </c>
    </row>
    <row r="100" spans="1:16" x14ac:dyDescent="0.25">
      <c r="A100" t="s">
        <v>113</v>
      </c>
      <c r="B100">
        <f>RTD("tos.rtd", , "Last", A100)</f>
        <v>133.51</v>
      </c>
      <c r="C100" t="str">
        <f>RTD("tos.rtd", , "STRENGTH_METER", A100)</f>
        <v>Range Bound</v>
      </c>
      <c r="D100" t="str">
        <f>RTD("tos.rtd", , "QUOTE_TREND", A100)</f>
        <v>instrument=CLX</v>
      </c>
      <c r="E100">
        <f>RTD("tos.rtd", , "NET_CHANGE", A100)</f>
        <v>-1.03</v>
      </c>
      <c r="F100">
        <f>RTD("tos.rtd", , "BID", A100)</f>
        <v>131</v>
      </c>
      <c r="G100">
        <f>RTD("tos.rtd", , "ASK", A100)</f>
        <v>135.1</v>
      </c>
      <c r="H100">
        <f>RTD("tos.rtd", , "BID_SIZE", A100)</f>
        <v>1</v>
      </c>
      <c r="I100">
        <f>RTD("tos.rtd", , "ASK_SIZE", A100)</f>
        <v>10</v>
      </c>
      <c r="J100">
        <f>RTD("tos.rtd", , "VOLUME", A100)</f>
        <v>632801</v>
      </c>
      <c r="K100">
        <f>RTD("tos.rtd", , "OPEN", A100)</f>
        <v>133.84</v>
      </c>
      <c r="L100">
        <f>RTD("tos.rtd", , "HIGH",A100)</f>
        <v>135.62</v>
      </c>
      <c r="M100">
        <f>RTD("tos.rtd", , "LOW", A100)</f>
        <v>133.25</v>
      </c>
      <c r="N100">
        <f>RTD("tos.rtd", , "52HIGH", A100)</f>
        <v>141.76</v>
      </c>
      <c r="O100">
        <f>RTD("tos.rtd", , "52LOW", A100)</f>
        <v>112.28</v>
      </c>
      <c r="P100">
        <f>RTD("tos.rtd", , "Mark", A100)</f>
        <v>133.51</v>
      </c>
    </row>
    <row r="101" spans="1:16" x14ac:dyDescent="0.25">
      <c r="A101" t="s">
        <v>114</v>
      </c>
      <c r="B101">
        <f>RTD("tos.rtd", , "Last", A101)</f>
        <v>79.13</v>
      </c>
      <c r="C101" t="str">
        <f>RTD("tos.rtd", , "STRENGTH_METER", A101)</f>
        <v>Range Bound</v>
      </c>
      <c r="D101" t="str">
        <f>RTD("tos.rtd", , "QUOTE_TREND", A101)</f>
        <v>instrument=CMA</v>
      </c>
      <c r="E101">
        <f>RTD("tos.rtd", , "NET_CHANGE", A101)</f>
        <v>0.71</v>
      </c>
      <c r="F101">
        <f>RTD("tos.rtd", , "BID", A101)</f>
        <v>76</v>
      </c>
      <c r="G101">
        <f>RTD("tos.rtd", , "ASK", A101)</f>
        <v>79.150000000000006</v>
      </c>
      <c r="H101">
        <f>RTD("tos.rtd", , "BID_SIZE", A101)</f>
        <v>1</v>
      </c>
      <c r="I101">
        <f>RTD("tos.rtd", , "ASK_SIZE", A101)</f>
        <v>0</v>
      </c>
      <c r="J101">
        <f>RTD("tos.rtd", , "VOLUME", A101)</f>
        <v>1260751</v>
      </c>
      <c r="K101">
        <f>RTD("tos.rtd", , "OPEN", A101)</f>
        <v>78.3</v>
      </c>
      <c r="L101">
        <f>RTD("tos.rtd", , "HIGH",A101)</f>
        <v>79.819999999999993</v>
      </c>
      <c r="M101">
        <f>RTD("tos.rtd", , "LOW", A101)</f>
        <v>77.88</v>
      </c>
      <c r="N101">
        <f>RTD("tos.rtd", , "52HIGH", A101)</f>
        <v>80.25</v>
      </c>
      <c r="O101">
        <f>RTD("tos.rtd", , "52LOW", A101)</f>
        <v>58.78</v>
      </c>
      <c r="P101">
        <f>RTD("tos.rtd", , "Mark", A101)</f>
        <v>79.13</v>
      </c>
    </row>
    <row r="102" spans="1:16" x14ac:dyDescent="0.25">
      <c r="A102" t="s">
        <v>115</v>
      </c>
      <c r="B102">
        <f>RTD("tos.rtd", , "Last", A102)</f>
        <v>36.159999999999997</v>
      </c>
      <c r="C102" t="str">
        <f>RTD("tos.rtd", , "STRENGTH_METER", A102)</f>
        <v>Range Bound</v>
      </c>
      <c r="D102" t="str">
        <f>RTD("tos.rtd", , "QUOTE_TREND", A102)</f>
        <v>instrument=CMCSA</v>
      </c>
      <c r="E102">
        <f>RTD("tos.rtd", , "NET_CHANGE", A102)</f>
        <v>-0.91</v>
      </c>
      <c r="F102">
        <f>RTD("tos.rtd", , "BID", A102)</f>
        <v>36.159999999999997</v>
      </c>
      <c r="G102">
        <f>RTD("tos.rtd", , "ASK", A102)</f>
        <v>36.270000000000003</v>
      </c>
      <c r="H102">
        <f>RTD("tos.rtd", , "BID_SIZE", A102)</f>
        <v>4</v>
      </c>
      <c r="I102">
        <f>RTD("tos.rtd", , "ASK_SIZE", A102)</f>
        <v>4</v>
      </c>
      <c r="J102">
        <f>RTD("tos.rtd", , "VOLUME", A102)</f>
        <v>38100433</v>
      </c>
      <c r="K102">
        <f>RTD("tos.rtd", , "OPEN", A102)</f>
        <v>37</v>
      </c>
      <c r="L102">
        <f>RTD("tos.rtd", , "HIGH",A102)</f>
        <v>37</v>
      </c>
      <c r="M102">
        <f>RTD("tos.rtd", , "LOW", A102)</f>
        <v>36.119999999999997</v>
      </c>
      <c r="N102">
        <f>RTD("tos.rtd", , "52HIGH", A102)</f>
        <v>42.18</v>
      </c>
      <c r="O102">
        <f>RTD("tos.rtd", , "52LOW", A102)</f>
        <v>33.295000000000002</v>
      </c>
      <c r="P102">
        <f>RTD("tos.rtd", , "Mark", A102)</f>
        <v>36.159999999999997</v>
      </c>
    </row>
    <row r="103" spans="1:16" x14ac:dyDescent="0.25">
      <c r="A103" t="s">
        <v>116</v>
      </c>
      <c r="B103">
        <f>RTD("tos.rtd", , "Last", A103)</f>
        <v>139.49</v>
      </c>
      <c r="C103" t="str">
        <f>RTD("tos.rtd", , "STRENGTH_METER", A103)</f>
        <v>Range Bound</v>
      </c>
      <c r="D103" t="str">
        <f>RTD("tos.rtd", , "QUOTE_TREND", A103)</f>
        <v>instrument=CME</v>
      </c>
      <c r="E103">
        <f>RTD("tos.rtd", , "NET_CHANGE", A103)</f>
        <v>-0.6</v>
      </c>
      <c r="F103">
        <f>RTD("tos.rtd", , "BID", A103)</f>
        <v>136.52000000000001</v>
      </c>
      <c r="G103">
        <f>RTD("tos.rtd", , "ASK", A103)</f>
        <v>140.26</v>
      </c>
      <c r="H103">
        <f>RTD("tos.rtd", , "BID_SIZE", A103)</f>
        <v>1</v>
      </c>
      <c r="I103">
        <f>RTD("tos.rtd", , "ASK_SIZE", A103)</f>
        <v>1</v>
      </c>
      <c r="J103">
        <f>RTD("tos.rtd", , "VOLUME", A103)</f>
        <v>923291</v>
      </c>
      <c r="K103">
        <f>RTD("tos.rtd", , "OPEN", A103)</f>
        <v>139.57</v>
      </c>
      <c r="L103">
        <f>RTD("tos.rtd", , "HIGH",A103)</f>
        <v>140.13</v>
      </c>
      <c r="M103">
        <f>RTD("tos.rtd", , "LOW", A103)</f>
        <v>139.04</v>
      </c>
      <c r="N103">
        <f>RTD("tos.rtd", , "52HIGH", A103)</f>
        <v>141.44</v>
      </c>
      <c r="O103">
        <f>RTD("tos.rtd", , "52LOW", A103)</f>
        <v>111.19</v>
      </c>
      <c r="P103">
        <f>RTD("tos.rtd", , "Mark", A103)</f>
        <v>139.49</v>
      </c>
    </row>
    <row r="104" spans="1:16" x14ac:dyDescent="0.25">
      <c r="A104" t="s">
        <v>117</v>
      </c>
      <c r="B104">
        <f>RTD("tos.rtd", , "Last", A104)</f>
        <v>289.83999999999997</v>
      </c>
      <c r="C104" t="str">
        <f>RTD("tos.rtd", , "STRENGTH_METER", A104)</f>
        <v>Range Bound</v>
      </c>
      <c r="D104" t="str">
        <f>RTD("tos.rtd", , "QUOTE_TREND", A104)</f>
        <v>instrument=CMG</v>
      </c>
      <c r="E104">
        <f>RTD("tos.rtd", , "NET_CHANGE", A104)</f>
        <v>6.14</v>
      </c>
      <c r="F104">
        <f>RTD("tos.rtd", , "BID", A104)</f>
        <v>289.85000000000002</v>
      </c>
      <c r="G104">
        <f>RTD("tos.rtd", , "ASK", A104)</f>
        <v>290.83999999999997</v>
      </c>
      <c r="H104">
        <f>RTD("tos.rtd", , "BID_SIZE", A104)</f>
        <v>2</v>
      </c>
      <c r="I104">
        <f>RTD("tos.rtd", , "ASK_SIZE", A104)</f>
        <v>1</v>
      </c>
      <c r="J104">
        <f>RTD("tos.rtd", , "VOLUME", A104)</f>
        <v>1274980</v>
      </c>
      <c r="K104">
        <f>RTD("tos.rtd", , "OPEN", A104)</f>
        <v>283.56</v>
      </c>
      <c r="L104">
        <f>RTD("tos.rtd", , "HIGH",A104)</f>
        <v>291.51</v>
      </c>
      <c r="M104">
        <f>RTD("tos.rtd", , "LOW", A104)</f>
        <v>283.56</v>
      </c>
      <c r="N104">
        <f>RTD("tos.rtd", , "52HIGH", A104)</f>
        <v>499</v>
      </c>
      <c r="O104">
        <f>RTD("tos.rtd", , "52LOW", A104)</f>
        <v>263</v>
      </c>
      <c r="P104">
        <f>RTD("tos.rtd", , "Mark", A104)</f>
        <v>289.85000000000002</v>
      </c>
    </row>
    <row r="105" spans="1:16" x14ac:dyDescent="0.25">
      <c r="A105" t="s">
        <v>118</v>
      </c>
      <c r="B105">
        <f>RTD("tos.rtd", , "Last", A105)</f>
        <v>159.41</v>
      </c>
      <c r="C105" t="str">
        <f>RTD("tos.rtd", , "STRENGTH_METER", A105)</f>
        <v>Range Bound</v>
      </c>
      <c r="D105" t="str">
        <f>RTD("tos.rtd", , "QUOTE_TREND", A105)</f>
        <v>instrument=CMI</v>
      </c>
      <c r="E105">
        <f>RTD("tos.rtd", , "NET_CHANGE", A105)</f>
        <v>-7.72</v>
      </c>
      <c r="F105">
        <f>RTD("tos.rtd", , "BID", A105)</f>
        <v>159</v>
      </c>
      <c r="G105">
        <f>RTD("tos.rtd", , "ASK", A105)</f>
        <v>159.68</v>
      </c>
      <c r="H105">
        <f>RTD("tos.rtd", , "BID_SIZE", A105)</f>
        <v>3</v>
      </c>
      <c r="I105">
        <f>RTD("tos.rtd", , "ASK_SIZE", A105)</f>
        <v>9</v>
      </c>
      <c r="J105">
        <f>RTD("tos.rtd", , "VOLUME", A105)</f>
        <v>3521053</v>
      </c>
      <c r="K105">
        <f>RTD("tos.rtd", , "OPEN", A105)</f>
        <v>163</v>
      </c>
      <c r="L105">
        <f>RTD("tos.rtd", , "HIGH",A105)</f>
        <v>163.96</v>
      </c>
      <c r="M105">
        <f>RTD("tos.rtd", , "LOW", A105)</f>
        <v>158.75</v>
      </c>
      <c r="N105">
        <f>RTD("tos.rtd", , "52HIGH", A105)</f>
        <v>181.7901</v>
      </c>
      <c r="O105">
        <f>RTD("tos.rtd", , "52LOW", A105)</f>
        <v>134.06</v>
      </c>
      <c r="P105">
        <f>RTD("tos.rtd", , "Mark", A105)</f>
        <v>159.41</v>
      </c>
    </row>
    <row r="106" spans="1:16" x14ac:dyDescent="0.25">
      <c r="A106" t="s">
        <v>119</v>
      </c>
      <c r="B106">
        <f>RTD("tos.rtd", , "Last", A106)</f>
        <v>49.59</v>
      </c>
      <c r="C106" t="str">
        <f>RTD("tos.rtd", , "STRENGTH_METER", A106)</f>
        <v>Range Bound</v>
      </c>
      <c r="D106" t="str">
        <f>RTD("tos.rtd", , "QUOTE_TREND", A106)</f>
        <v>instrument=CMS</v>
      </c>
      <c r="E106">
        <f>RTD("tos.rtd", , "NET_CHANGE", A106)</f>
        <v>-0.57999999999999996</v>
      </c>
      <c r="F106">
        <f>RTD("tos.rtd", , "BID", A106)</f>
        <v>49.52</v>
      </c>
      <c r="G106">
        <f>RTD("tos.rtd", , "ASK", A106)</f>
        <v>49.62</v>
      </c>
      <c r="H106">
        <f>RTD("tos.rtd", , "BID_SIZE", A106)</f>
        <v>1</v>
      </c>
      <c r="I106">
        <f>RTD("tos.rtd", , "ASK_SIZE", A106)</f>
        <v>2</v>
      </c>
      <c r="J106">
        <f>RTD("tos.rtd", , "VOLUME", A106)</f>
        <v>1627053</v>
      </c>
      <c r="K106">
        <f>RTD("tos.rtd", , "OPEN", A106)</f>
        <v>50.04</v>
      </c>
      <c r="L106">
        <f>RTD("tos.rtd", , "HIGH",A106)</f>
        <v>50.26</v>
      </c>
      <c r="M106">
        <f>RTD("tos.rtd", , "LOW", A106)</f>
        <v>49.52</v>
      </c>
      <c r="N106">
        <f>RTD("tos.rtd", , "52HIGH", A106)</f>
        <v>50.85</v>
      </c>
      <c r="O106">
        <f>RTD("tos.rtd", , "52LOW", A106)</f>
        <v>39.42</v>
      </c>
      <c r="P106">
        <f>RTD("tos.rtd", , "Mark", A106)</f>
        <v>49.59</v>
      </c>
    </row>
    <row r="107" spans="1:16" x14ac:dyDescent="0.25">
      <c r="A107" t="s">
        <v>120</v>
      </c>
      <c r="B107">
        <f>RTD("tos.rtd", , "Last", A107)</f>
        <v>29</v>
      </c>
      <c r="C107" t="str">
        <f>RTD("tos.rtd", , "STRENGTH_METER", A107)</f>
        <v>Range Bound</v>
      </c>
      <c r="D107" t="str">
        <f>RTD("tos.rtd", , "QUOTE_TREND", A107)</f>
        <v>instrument=CNP</v>
      </c>
      <c r="E107">
        <f>RTD("tos.rtd", , "NET_CHANGE", A107)</f>
        <v>-0.03</v>
      </c>
      <c r="F107">
        <f>RTD("tos.rtd", , "BID", A107)</f>
        <v>28.85</v>
      </c>
      <c r="G107">
        <f>RTD("tos.rtd", , "ASK", A107)</f>
        <v>29.48</v>
      </c>
      <c r="H107">
        <f>RTD("tos.rtd", , "BID_SIZE", A107)</f>
        <v>7</v>
      </c>
      <c r="I107">
        <f>RTD("tos.rtd", , "ASK_SIZE", A107)</f>
        <v>7</v>
      </c>
      <c r="J107">
        <f>RTD("tos.rtd", , "VOLUME", A107)</f>
        <v>2902240</v>
      </c>
      <c r="K107">
        <f>RTD("tos.rtd", , "OPEN", A107)</f>
        <v>28.98</v>
      </c>
      <c r="L107">
        <f>RTD("tos.rtd", , "HIGH",A107)</f>
        <v>29.164999999999999</v>
      </c>
      <c r="M107">
        <f>RTD("tos.rtd", , "LOW", A107)</f>
        <v>28.91</v>
      </c>
      <c r="N107">
        <f>RTD("tos.rtd", , "52HIGH", A107)</f>
        <v>30.45</v>
      </c>
      <c r="O107">
        <f>RTD("tos.rtd", , "52LOW", A107)</f>
        <v>22.95</v>
      </c>
      <c r="P107">
        <f>RTD("tos.rtd", , "Mark", A107)</f>
        <v>29</v>
      </c>
    </row>
    <row r="108" spans="1:16" x14ac:dyDescent="0.25">
      <c r="A108" t="s">
        <v>121</v>
      </c>
      <c r="B108">
        <f>RTD("tos.rtd", , "Last", A108)</f>
        <v>16.8</v>
      </c>
      <c r="C108" t="str">
        <f>RTD("tos.rtd", , "STRENGTH_METER", A108)</f>
        <v>Range Bound</v>
      </c>
      <c r="D108" t="str">
        <f>RTD("tos.rtd", , "QUOTE_TREND", A108)</f>
        <v>instrument=CNX</v>
      </c>
      <c r="E108">
        <f>RTD("tos.rtd", , "NET_CHANGE", A108)</f>
        <v>0.77</v>
      </c>
      <c r="F108">
        <f>RTD("tos.rtd", , "BID", A108)</f>
        <v>16.29</v>
      </c>
      <c r="G108">
        <f>RTD("tos.rtd", , "ASK", A108)</f>
        <v>17</v>
      </c>
      <c r="H108">
        <f>RTD("tos.rtd", , "BID_SIZE", A108)</f>
        <v>12</v>
      </c>
      <c r="I108">
        <f>RTD("tos.rtd", , "ASK_SIZE", A108)</f>
        <v>1</v>
      </c>
      <c r="J108">
        <f>RTD("tos.rtd", , "VOLUME", A108)</f>
        <v>2646782</v>
      </c>
      <c r="K108">
        <f>RTD("tos.rtd", , "OPEN", A108)</f>
        <v>16.12</v>
      </c>
      <c r="L108">
        <f>RTD("tos.rtd", , "HIGH",A108)</f>
        <v>16.82</v>
      </c>
      <c r="M108">
        <f>RTD("tos.rtd", , "LOW", A108)</f>
        <v>16.12</v>
      </c>
      <c r="N108">
        <f>RTD("tos.rtd", , "52HIGH", A108)</f>
        <v>22.34</v>
      </c>
      <c r="O108">
        <f>RTD("tos.rtd", , "52LOW", A108)</f>
        <v>13.55</v>
      </c>
      <c r="P108">
        <f>RTD("tos.rtd", , "Mark", A108)</f>
        <v>16.8</v>
      </c>
    </row>
    <row r="109" spans="1:16" x14ac:dyDescent="0.25">
      <c r="A109" t="s">
        <v>122</v>
      </c>
      <c r="B109">
        <f>RTD("tos.rtd", , "Last", A109)</f>
        <v>87.83</v>
      </c>
      <c r="C109" t="str">
        <f>RTD("tos.rtd", , "STRENGTH_METER", A109)</f>
        <v>Range Bound</v>
      </c>
      <c r="D109" t="str">
        <f>RTD("tos.rtd", , "QUOTE_TREND", A109)</f>
        <v>instrument=COF</v>
      </c>
      <c r="E109">
        <f>RTD("tos.rtd", , "NET_CHANGE", A109)</f>
        <v>0.68</v>
      </c>
      <c r="F109">
        <f>RTD("tos.rtd", , "BID", A109)</f>
        <v>85.91</v>
      </c>
      <c r="G109">
        <f>RTD("tos.rtd", , "ASK", A109)</f>
        <v>88.83</v>
      </c>
      <c r="H109">
        <f>RTD("tos.rtd", , "BID_SIZE", A109)</f>
        <v>3</v>
      </c>
      <c r="I109">
        <f>RTD("tos.rtd", , "ASK_SIZE", A109)</f>
        <v>3</v>
      </c>
      <c r="J109">
        <f>RTD("tos.rtd", , "VOLUME", A109)</f>
        <v>1635825</v>
      </c>
      <c r="K109">
        <f>RTD("tos.rtd", , "OPEN", A109)</f>
        <v>86.93</v>
      </c>
      <c r="L109">
        <f>RTD("tos.rtd", , "HIGH",A109)</f>
        <v>88.23</v>
      </c>
      <c r="M109">
        <f>RTD("tos.rtd", , "LOW", A109)</f>
        <v>86.89</v>
      </c>
      <c r="N109">
        <f>RTD("tos.rtd", , "52HIGH", A109)</f>
        <v>96.92</v>
      </c>
      <c r="O109">
        <f>RTD("tos.rtd", , "52LOW", A109)</f>
        <v>76.05</v>
      </c>
      <c r="P109">
        <f>RTD("tos.rtd", , "Mark", A109)</f>
        <v>87.83</v>
      </c>
    </row>
    <row r="110" spans="1:16" x14ac:dyDescent="0.25">
      <c r="A110" t="s">
        <v>123</v>
      </c>
      <c r="B110">
        <f>RTD("tos.rtd", , "Last", A110)</f>
        <v>29.39</v>
      </c>
      <c r="C110" t="str">
        <f>RTD("tos.rtd", , "STRENGTH_METER", A110)</f>
        <v>Uptrend</v>
      </c>
      <c r="D110" t="str">
        <f>RTD("tos.rtd", , "QUOTE_TREND", A110)</f>
        <v>instrument=COG</v>
      </c>
      <c r="E110">
        <f>RTD("tos.rtd", , "NET_CHANGE", A110)</f>
        <v>0.65</v>
      </c>
      <c r="F110">
        <f>RTD("tos.rtd", , "BID", A110)</f>
        <v>29.3</v>
      </c>
      <c r="G110">
        <f>RTD("tos.rtd", , "ASK", A110)</f>
        <v>29.42</v>
      </c>
      <c r="H110">
        <f>RTD("tos.rtd", , "BID_SIZE", A110)</f>
        <v>4</v>
      </c>
      <c r="I110">
        <f>RTD("tos.rtd", , "ASK_SIZE", A110)</f>
        <v>1</v>
      </c>
      <c r="J110">
        <f>RTD("tos.rtd", , "VOLUME", A110)</f>
        <v>5598370</v>
      </c>
      <c r="K110">
        <f>RTD("tos.rtd", , "OPEN", A110)</f>
        <v>28.91</v>
      </c>
      <c r="L110">
        <f>RTD("tos.rtd", , "HIGH",A110)</f>
        <v>29.41</v>
      </c>
      <c r="M110">
        <f>RTD("tos.rtd", , "LOW", A110)</f>
        <v>28.82</v>
      </c>
      <c r="N110">
        <f>RTD("tos.rtd", , "52HIGH", A110)</f>
        <v>29.26</v>
      </c>
      <c r="O110">
        <f>RTD("tos.rtd", , "52LOW", A110)</f>
        <v>20.55</v>
      </c>
      <c r="P110">
        <f>RTD("tos.rtd", , "Mark", A110)</f>
        <v>29.39</v>
      </c>
    </row>
    <row r="111" spans="1:16" x14ac:dyDescent="0.25">
      <c r="A111" t="s">
        <v>124</v>
      </c>
      <c r="B111">
        <f>RTD("tos.rtd", , "Last", A111)</f>
        <v>39.9</v>
      </c>
      <c r="C111" t="str">
        <f>RTD("tos.rtd", , "STRENGTH_METER", A111)</f>
        <v>Range Bound</v>
      </c>
      <c r="D111" t="str">
        <f>RTD("tos.rtd", , "QUOTE_TREND", A111)</f>
        <v>instrument=COH</v>
      </c>
      <c r="E111">
        <f>RTD("tos.rtd", , "NET_CHANGE", A111)</f>
        <v>0</v>
      </c>
      <c r="F111">
        <f>RTD("tos.rtd", , "BID", A111)</f>
        <v>39.700000000000003</v>
      </c>
      <c r="G111">
        <f>RTD("tos.rtd", , "ASK", A111)</f>
        <v>40.1</v>
      </c>
      <c r="H111">
        <f>RTD("tos.rtd", , "BID_SIZE", A111)</f>
        <v>0</v>
      </c>
      <c r="I111">
        <f>RTD("tos.rtd", , "ASK_SIZE", A111)</f>
        <v>0</v>
      </c>
      <c r="J111">
        <f>RTD("tos.rtd", , "VOLUME", A111)</f>
        <v>0</v>
      </c>
      <c r="K111">
        <f>RTD("tos.rtd", , "OPEN", A111)</f>
        <v>0</v>
      </c>
      <c r="L111">
        <f>RTD("tos.rtd", , "HIGH",A111)</f>
        <v>0</v>
      </c>
      <c r="M111">
        <f>RTD("tos.rtd", , "LOW", A111)</f>
        <v>0</v>
      </c>
      <c r="N111">
        <f>RTD("tos.rtd", , "52HIGH", A111)</f>
        <v>48.85</v>
      </c>
      <c r="O111">
        <f>RTD("tos.rtd", , "52LOW", A111)</f>
        <v>34.159999999999997</v>
      </c>
      <c r="P111">
        <f>RTD("tos.rtd", , "Mark", A111)</f>
        <v>39.9</v>
      </c>
    </row>
    <row r="112" spans="1:16" x14ac:dyDescent="0.25">
      <c r="A112" t="s">
        <v>125</v>
      </c>
      <c r="B112">
        <f>RTD("tos.rtd", , "Last", A112)</f>
        <v>132.27000000000001</v>
      </c>
      <c r="C112" t="str">
        <f>RTD("tos.rtd", , "STRENGTH_METER", A112)</f>
        <v>Range Bound</v>
      </c>
      <c r="D112" t="str">
        <f>RTD("tos.rtd", , "QUOTE_TREND", A112)</f>
        <v>instrument=COL</v>
      </c>
      <c r="E112">
        <f>RTD("tos.rtd", , "NET_CHANGE", A112)</f>
        <v>-0.34</v>
      </c>
      <c r="F112">
        <f>RTD("tos.rtd", , "BID", A112)</f>
        <v>129.32</v>
      </c>
      <c r="G112">
        <f>RTD("tos.rtd", , "ASK", A112)</f>
        <v>132.36000000000001</v>
      </c>
      <c r="H112">
        <f>RTD("tos.rtd", , "BID_SIZE", A112)</f>
        <v>1</v>
      </c>
      <c r="I112">
        <f>RTD("tos.rtd", , "ASK_SIZE", A112)</f>
        <v>1</v>
      </c>
      <c r="J112">
        <f>RTD("tos.rtd", , "VOLUME", A112)</f>
        <v>892532</v>
      </c>
      <c r="K112">
        <f>RTD("tos.rtd", , "OPEN", A112)</f>
        <v>132.30000000000001</v>
      </c>
      <c r="L112">
        <f>RTD("tos.rtd", , "HIGH",A112)</f>
        <v>132.44999999999999</v>
      </c>
      <c r="M112">
        <f>RTD("tos.rtd", , "LOW", A112)</f>
        <v>131.93</v>
      </c>
      <c r="N112">
        <f>RTD("tos.rtd", , "52HIGH", A112)</f>
        <v>136.5</v>
      </c>
      <c r="O112">
        <f>RTD("tos.rtd", , "52LOW", A112)</f>
        <v>87.17</v>
      </c>
      <c r="P112">
        <f>RTD("tos.rtd", , "Mark", A112)</f>
        <v>132.27000000000001</v>
      </c>
    </row>
    <row r="113" spans="1:16" x14ac:dyDescent="0.25">
      <c r="A113" t="s">
        <v>126</v>
      </c>
      <c r="B113">
        <f>RTD("tos.rtd", , "Last", A113)</f>
        <v>50.13</v>
      </c>
      <c r="C113" t="str">
        <f>RTD("tos.rtd", , "STRENGTH_METER", A113)</f>
        <v>Range Bound</v>
      </c>
      <c r="D113" t="str">
        <f>RTD("tos.rtd", , "QUOTE_TREND", A113)</f>
        <v>instrument=COP</v>
      </c>
      <c r="E113">
        <f>RTD("tos.rtd", , "NET_CHANGE", A113)</f>
        <v>-0.09</v>
      </c>
      <c r="F113">
        <f>RTD("tos.rtd", , "BID", A113)</f>
        <v>50.05</v>
      </c>
      <c r="G113">
        <f>RTD("tos.rtd", , "ASK", A113)</f>
        <v>50.2</v>
      </c>
      <c r="H113">
        <f>RTD("tos.rtd", , "BID_SIZE", A113)</f>
        <v>10</v>
      </c>
      <c r="I113">
        <f>RTD("tos.rtd", , "ASK_SIZE", A113)</f>
        <v>1</v>
      </c>
      <c r="J113">
        <f>RTD("tos.rtd", , "VOLUME", A113)</f>
        <v>4127580</v>
      </c>
      <c r="K113">
        <f>RTD("tos.rtd", , "OPEN", A113)</f>
        <v>50.24</v>
      </c>
      <c r="L113">
        <f>RTD("tos.rtd", , "HIGH",A113)</f>
        <v>50.52</v>
      </c>
      <c r="M113">
        <f>RTD("tos.rtd", , "LOW", A113)</f>
        <v>50</v>
      </c>
      <c r="N113">
        <f>RTD("tos.rtd", , "52HIGH", A113)</f>
        <v>54.22</v>
      </c>
      <c r="O113">
        <f>RTD("tos.rtd", , "52LOW", A113)</f>
        <v>42.265000000000001</v>
      </c>
      <c r="P113">
        <f>RTD("tos.rtd", , "Mark", A113)</f>
        <v>50.13</v>
      </c>
    </row>
    <row r="114" spans="1:16" x14ac:dyDescent="0.25">
      <c r="A114" t="s">
        <v>127</v>
      </c>
      <c r="B114">
        <f>RTD("tos.rtd", , "Last", A114)</f>
        <v>170.98</v>
      </c>
      <c r="C114" t="str">
        <f>RTD("tos.rtd", , "STRENGTH_METER", A114)</f>
        <v>Range Bound</v>
      </c>
      <c r="D114" t="str">
        <f>RTD("tos.rtd", , "QUOTE_TREND", A114)</f>
        <v>instrument=COST</v>
      </c>
      <c r="E114">
        <f>RTD("tos.rtd", , "NET_CHANGE", A114)</f>
        <v>0</v>
      </c>
      <c r="F114">
        <f>RTD("tos.rtd", , "BID", A114)</f>
        <v>170.28</v>
      </c>
      <c r="G114">
        <f>RTD("tos.rtd", , "ASK", A114)</f>
        <v>172</v>
      </c>
      <c r="H114">
        <f>RTD("tos.rtd", , "BID_SIZE", A114)</f>
        <v>1</v>
      </c>
      <c r="I114">
        <f>RTD("tos.rtd", , "ASK_SIZE", A114)</f>
        <v>24</v>
      </c>
      <c r="J114">
        <f>RTD("tos.rtd", , "VOLUME", A114)</f>
        <v>2094434</v>
      </c>
      <c r="K114">
        <f>RTD("tos.rtd", , "OPEN", A114)</f>
        <v>171</v>
      </c>
      <c r="L114">
        <f>RTD("tos.rtd", , "HIGH",A114)</f>
        <v>172.2</v>
      </c>
      <c r="M114">
        <f>RTD("tos.rtd", , "LOW", A114)</f>
        <v>170.65</v>
      </c>
      <c r="N114">
        <f>RTD("tos.rtd", , "52HIGH", A114)</f>
        <v>183.18</v>
      </c>
      <c r="O114">
        <f>RTD("tos.rtd", , "52LOW", A114)</f>
        <v>149.52000000000001</v>
      </c>
      <c r="P114">
        <f>RTD("tos.rtd", , "Mark", A114)</f>
        <v>170.98</v>
      </c>
    </row>
    <row r="115" spans="1:16" x14ac:dyDescent="0.25">
      <c r="A115" t="s">
        <v>128</v>
      </c>
      <c r="B115" t="str">
        <f>RTD("tos.rtd", , "Last", A115)</f>
        <v>N/A</v>
      </c>
      <c r="C115" t="str">
        <f>RTD("tos.rtd", , "STRENGTH_METER", A115)</f>
        <v>N/A</v>
      </c>
      <c r="D115" t="str">
        <f>RTD("tos.rtd", , "QUOTE_TREND", A115)</f>
        <v>instrument=COV</v>
      </c>
      <c r="E115" t="str">
        <f>RTD("tos.rtd", , "NET_CHANGE", A115)</f>
        <v>N/A</v>
      </c>
      <c r="F115" t="str">
        <f>RTD("tos.rtd", , "BID", A115)</f>
        <v>N/A</v>
      </c>
      <c r="G115" t="str">
        <f>RTD("tos.rtd", , "ASK", A115)</f>
        <v>N/A</v>
      </c>
      <c r="H115">
        <f>RTD("tos.rtd", , "BID_SIZE", A115)</f>
        <v>0</v>
      </c>
      <c r="I115">
        <f>RTD("tos.rtd", , "ASK_SIZE", A115)</f>
        <v>0</v>
      </c>
      <c r="J115" t="str">
        <f>RTD("tos.rtd", , "VOLUME", A115)</f>
        <v>N/A</v>
      </c>
      <c r="K115" t="str">
        <f>RTD("tos.rtd", , "OPEN", A115)</f>
        <v>N/A</v>
      </c>
      <c r="L115" t="str">
        <f>RTD("tos.rtd", , "HIGH",A115)</f>
        <v>N/A</v>
      </c>
      <c r="M115" t="str">
        <f>RTD("tos.rtd", , "LOW", A115)</f>
        <v>N/A</v>
      </c>
      <c r="N115" t="str">
        <f>RTD("tos.rtd", , "52HIGH", A115)</f>
        <v>N/A</v>
      </c>
      <c r="O115" t="str">
        <f>RTD("tos.rtd", , "52LOW", A115)</f>
        <v>N/A</v>
      </c>
      <c r="P115" t="str">
        <f>RTD("tos.rtd", , "Mark", A115)</f>
        <v>N/A</v>
      </c>
    </row>
    <row r="116" spans="1:16" x14ac:dyDescent="0.25">
      <c r="A116" t="s">
        <v>129</v>
      </c>
      <c r="B116">
        <f>RTD("tos.rtd", , "Last", A116)</f>
        <v>49.72</v>
      </c>
      <c r="C116" t="str">
        <f>RTD("tos.rtd", , "STRENGTH_METER", A116)</f>
        <v>Range Bound</v>
      </c>
      <c r="D116" t="str">
        <f>RTD("tos.rtd", , "QUOTE_TREND", A116)</f>
        <v>instrument=CPB</v>
      </c>
      <c r="E116">
        <f>RTD("tos.rtd", , "NET_CHANGE", A116)</f>
        <v>1.4</v>
      </c>
      <c r="F116">
        <f>RTD("tos.rtd", , "BID", A116)</f>
        <v>47.2</v>
      </c>
      <c r="G116">
        <f>RTD("tos.rtd", , "ASK", A116)</f>
        <v>49.71</v>
      </c>
      <c r="H116">
        <f>RTD("tos.rtd", , "BID_SIZE", A116)</f>
        <v>1</v>
      </c>
      <c r="I116">
        <f>RTD("tos.rtd", , "ASK_SIZE", A116)</f>
        <v>1</v>
      </c>
      <c r="J116">
        <f>RTD("tos.rtd", , "VOLUME", A116)</f>
        <v>4077333</v>
      </c>
      <c r="K116">
        <f>RTD("tos.rtd", , "OPEN", A116)</f>
        <v>48.13</v>
      </c>
      <c r="L116">
        <f>RTD("tos.rtd", , "HIGH",A116)</f>
        <v>49.76</v>
      </c>
      <c r="M116">
        <f>RTD("tos.rtd", , "LOW", A116)</f>
        <v>48.13</v>
      </c>
      <c r="N116">
        <f>RTD("tos.rtd", , "52HIGH", A116)</f>
        <v>64.23</v>
      </c>
      <c r="O116">
        <f>RTD("tos.rtd", , "52LOW", A116)</f>
        <v>44.994999999999997</v>
      </c>
      <c r="P116">
        <f>RTD("tos.rtd", , "Mark", A116)</f>
        <v>49.71</v>
      </c>
    </row>
    <row r="117" spans="1:16" x14ac:dyDescent="0.25">
      <c r="A117" t="s">
        <v>130</v>
      </c>
      <c r="B117">
        <f>RTD("tos.rtd", , "Last", A117)</f>
        <v>107.58</v>
      </c>
      <c r="C117" t="str">
        <f>RTD("tos.rtd", , "STRENGTH_METER", A117)</f>
        <v>Range Bound</v>
      </c>
      <c r="D117" t="str">
        <f>RTD("tos.rtd", , "QUOTE_TREND", A117)</f>
        <v>instrument=CRM</v>
      </c>
      <c r="E117">
        <f>RTD("tos.rtd", , "NET_CHANGE", A117)</f>
        <v>0.55000000000000004</v>
      </c>
      <c r="F117">
        <f>RTD("tos.rtd", , "BID", A117)</f>
        <v>107.6</v>
      </c>
      <c r="G117">
        <f>RTD("tos.rtd", , "ASK", A117)</f>
        <v>108.2</v>
      </c>
      <c r="H117">
        <f>RTD("tos.rtd", , "BID_SIZE", A117)</f>
        <v>1</v>
      </c>
      <c r="I117">
        <f>RTD("tos.rtd", , "ASK_SIZE", A117)</f>
        <v>1</v>
      </c>
      <c r="J117">
        <f>RTD("tos.rtd", , "VOLUME", A117)</f>
        <v>4266431</v>
      </c>
      <c r="K117">
        <f>RTD("tos.rtd", , "OPEN", A117)</f>
        <v>107.19</v>
      </c>
      <c r="L117">
        <f>RTD("tos.rtd", , "HIGH",A117)</f>
        <v>107.87</v>
      </c>
      <c r="M117">
        <f>RTD("tos.rtd", , "LOW", A117)</f>
        <v>106.73</v>
      </c>
      <c r="N117">
        <f>RTD("tos.rtd", , "52HIGH", A117)</f>
        <v>107.36</v>
      </c>
      <c r="O117">
        <f>RTD("tos.rtd", , "52LOW", A117)</f>
        <v>66.430000000000007</v>
      </c>
      <c r="P117">
        <f>RTD("tos.rtd", , "Mark", A117)</f>
        <v>107.6</v>
      </c>
    </row>
    <row r="118" spans="1:16" x14ac:dyDescent="0.25">
      <c r="A118" t="s">
        <v>131</v>
      </c>
      <c r="B118">
        <f>RTD("tos.rtd", , "Last", A118)</f>
        <v>69.010000000000005</v>
      </c>
      <c r="C118" t="str">
        <f>RTD("tos.rtd", , "STRENGTH_METER", A118)</f>
        <v>Range Bound</v>
      </c>
      <c r="D118" t="str">
        <f>RTD("tos.rtd", , "QUOTE_TREND", A118)</f>
        <v>instrument=CSC</v>
      </c>
      <c r="E118">
        <f>RTD("tos.rtd", , "NET_CHANGE", A118)</f>
        <v>0</v>
      </c>
      <c r="F118">
        <f>RTD("tos.rtd", , "BID", A118)</f>
        <v>0.91</v>
      </c>
      <c r="G118">
        <f>RTD("tos.rtd", , "ASK", A118)</f>
        <v>170.39</v>
      </c>
      <c r="H118">
        <f>RTD("tos.rtd", , "BID_SIZE", A118)</f>
        <v>0</v>
      </c>
      <c r="I118">
        <f>RTD("tos.rtd", , "ASK_SIZE", A118)</f>
        <v>0</v>
      </c>
      <c r="J118">
        <f>RTD("tos.rtd", , "VOLUME", A118)</f>
        <v>0</v>
      </c>
      <c r="K118">
        <f>RTD("tos.rtd", , "OPEN", A118)</f>
        <v>0</v>
      </c>
      <c r="L118">
        <f>RTD("tos.rtd", , "HIGH",A118)</f>
        <v>0</v>
      </c>
      <c r="M118">
        <f>RTD("tos.rtd", , "LOW", A118)</f>
        <v>0</v>
      </c>
      <c r="N118">
        <f>RTD("tos.rtd", , "52HIGH", A118)</f>
        <v>74.92</v>
      </c>
      <c r="O118">
        <f>RTD("tos.rtd", , "52LOW", A118)</f>
        <v>32.51</v>
      </c>
      <c r="P118">
        <f>RTD("tos.rtd", , "Mark", A118)</f>
        <v>69.010000000000005</v>
      </c>
    </row>
    <row r="119" spans="1:16" x14ac:dyDescent="0.25">
      <c r="A119" t="s">
        <v>132</v>
      </c>
      <c r="B119">
        <f>RTD("tos.rtd", , "Last", A119)</f>
        <v>35.9</v>
      </c>
      <c r="C119" t="str">
        <f>RTD("tos.rtd", , "STRENGTH_METER", A119)</f>
        <v>Range Bound</v>
      </c>
      <c r="D119" t="str">
        <f>RTD("tos.rtd", , "QUOTE_TREND", A119)</f>
        <v>instrument=CSCO</v>
      </c>
      <c r="E119">
        <f>RTD("tos.rtd", , "NET_CHANGE", A119)</f>
        <v>0.02</v>
      </c>
      <c r="F119">
        <f>RTD("tos.rtd", , "BID", A119)</f>
        <v>35.86</v>
      </c>
      <c r="G119">
        <f>RTD("tos.rtd", , "ASK", A119)</f>
        <v>35.89</v>
      </c>
      <c r="H119">
        <f>RTD("tos.rtd", , "BID_SIZE", A119)</f>
        <v>14</v>
      </c>
      <c r="I119">
        <f>RTD("tos.rtd", , "ASK_SIZE", A119)</f>
        <v>28</v>
      </c>
      <c r="J119">
        <f>RTD("tos.rtd", , "VOLUME", A119)</f>
        <v>27513936</v>
      </c>
      <c r="K119">
        <f>RTD("tos.rtd", , "OPEN", A119)</f>
        <v>35.9</v>
      </c>
      <c r="L119">
        <f>RTD("tos.rtd", , "HIGH",A119)</f>
        <v>36.32</v>
      </c>
      <c r="M119">
        <f>RTD("tos.rtd", , "LOW", A119)</f>
        <v>35.81</v>
      </c>
      <c r="N119">
        <f>RTD("tos.rtd", , "52HIGH", A119)</f>
        <v>36.67</v>
      </c>
      <c r="O119">
        <f>RTD("tos.rtd", , "52LOW", A119)</f>
        <v>29.12</v>
      </c>
      <c r="P119">
        <f>RTD("tos.rtd", , "Mark", A119)</f>
        <v>35.89</v>
      </c>
    </row>
    <row r="120" spans="1:16" x14ac:dyDescent="0.25">
      <c r="A120" t="s">
        <v>133</v>
      </c>
      <c r="B120">
        <f>RTD("tos.rtd", , "Last", A120)</f>
        <v>49.92</v>
      </c>
      <c r="C120" t="str">
        <f>RTD("tos.rtd", , "STRENGTH_METER", A120)</f>
        <v>Range Bound</v>
      </c>
      <c r="D120" t="str">
        <f>RTD("tos.rtd", , "QUOTE_TREND", A120)</f>
        <v>instrument=CSX</v>
      </c>
      <c r="E120">
        <f>RTD("tos.rtd", , "NET_CHANGE", A120)</f>
        <v>-0.2</v>
      </c>
      <c r="F120">
        <f>RTD("tos.rtd", , "BID", A120)</f>
        <v>49.91</v>
      </c>
      <c r="G120">
        <f>RTD("tos.rtd", , "ASK", A120)</f>
        <v>49.98</v>
      </c>
      <c r="H120">
        <f>RTD("tos.rtd", , "BID_SIZE", A120)</f>
        <v>4</v>
      </c>
      <c r="I120">
        <f>RTD("tos.rtd", , "ASK_SIZE", A120)</f>
        <v>1</v>
      </c>
      <c r="J120">
        <f>RTD("tos.rtd", , "VOLUME", A120)</f>
        <v>6169132</v>
      </c>
      <c r="K120">
        <f>RTD("tos.rtd", , "OPEN", A120)</f>
        <v>49.96</v>
      </c>
      <c r="L120">
        <f>RTD("tos.rtd", , "HIGH",A120)</f>
        <v>50.07</v>
      </c>
      <c r="M120">
        <f>RTD("tos.rtd", , "LOW", A120)</f>
        <v>49.5</v>
      </c>
      <c r="N120">
        <f>RTD("tos.rtd", , "52HIGH", A120)</f>
        <v>55.479100000000003</v>
      </c>
      <c r="O120">
        <f>RTD("tos.rtd", , "52LOW", A120)</f>
        <v>33.79</v>
      </c>
      <c r="P120">
        <f>RTD("tos.rtd", , "Mark", A120)</f>
        <v>49.92</v>
      </c>
    </row>
    <row r="121" spans="1:16" x14ac:dyDescent="0.25">
      <c r="A121" t="s">
        <v>134</v>
      </c>
      <c r="B121">
        <f>RTD("tos.rtd", , "Last", A121)</f>
        <v>148.91999999999999</v>
      </c>
      <c r="C121" t="str">
        <f>RTD("tos.rtd", , "STRENGTH_METER", A121)</f>
        <v>Range Bound</v>
      </c>
      <c r="D121" t="str">
        <f>RTD("tos.rtd", , "QUOTE_TREND", A121)</f>
        <v>instrument=CTAS</v>
      </c>
      <c r="E121">
        <f>RTD("tos.rtd", , "NET_CHANGE", A121)</f>
        <v>-1.19</v>
      </c>
      <c r="F121">
        <f>RTD("tos.rtd", , "BID", A121)</f>
        <v>143.97</v>
      </c>
      <c r="G121">
        <f>RTD("tos.rtd", , "ASK", A121)</f>
        <v>150.49</v>
      </c>
      <c r="H121">
        <f>RTD("tos.rtd", , "BID_SIZE", A121)</f>
        <v>1</v>
      </c>
      <c r="I121">
        <f>RTD("tos.rtd", , "ASK_SIZE", A121)</f>
        <v>3</v>
      </c>
      <c r="J121">
        <f>RTD("tos.rtd", , "VOLUME", A121)</f>
        <v>378820</v>
      </c>
      <c r="K121">
        <f>RTD("tos.rtd", , "OPEN", A121)</f>
        <v>149.78</v>
      </c>
      <c r="L121">
        <f>RTD("tos.rtd", , "HIGH",A121)</f>
        <v>150.08000000000001</v>
      </c>
      <c r="M121">
        <f>RTD("tos.rtd", , "LOW", A121)</f>
        <v>148.33000000000001</v>
      </c>
      <c r="N121">
        <f>RTD("tos.rtd", , "52HIGH", A121)</f>
        <v>152.83000000000001</v>
      </c>
      <c r="O121">
        <f>RTD("tos.rtd", , "52LOW", A121)</f>
        <v>107.97</v>
      </c>
      <c r="P121">
        <f>RTD("tos.rtd", , "Mark", A121)</f>
        <v>148.91999999999999</v>
      </c>
    </row>
    <row r="122" spans="1:16" x14ac:dyDescent="0.25">
      <c r="A122" t="s">
        <v>135</v>
      </c>
      <c r="B122">
        <f>RTD("tos.rtd", , "Last", A122)</f>
        <v>14.8</v>
      </c>
      <c r="C122" t="str">
        <f>RTD("tos.rtd", , "STRENGTH_METER", A122)</f>
        <v>Downtrend</v>
      </c>
      <c r="D122" t="str">
        <f>RTD("tos.rtd", , "QUOTE_TREND", A122)</f>
        <v>instrument=CTL</v>
      </c>
      <c r="E122">
        <f>RTD("tos.rtd", , "NET_CHANGE", A122)</f>
        <v>0.05</v>
      </c>
      <c r="F122">
        <f>RTD("tos.rtd", , "BID", A122)</f>
        <v>14.75</v>
      </c>
      <c r="G122">
        <f>RTD("tos.rtd", , "ASK", A122)</f>
        <v>14.8</v>
      </c>
      <c r="H122">
        <f>RTD("tos.rtd", , "BID_SIZE", A122)</f>
        <v>5</v>
      </c>
      <c r="I122">
        <f>RTD("tos.rtd", , "ASK_SIZE", A122)</f>
        <v>1</v>
      </c>
      <c r="J122">
        <f>RTD("tos.rtd", , "VOLUME", A122)</f>
        <v>12873860</v>
      </c>
      <c r="K122">
        <f>RTD("tos.rtd", , "OPEN", A122)</f>
        <v>14.71</v>
      </c>
      <c r="L122">
        <f>RTD("tos.rtd", , "HIGH",A122)</f>
        <v>14.93</v>
      </c>
      <c r="M122">
        <f>RTD("tos.rtd", , "LOW", A122)</f>
        <v>14.7</v>
      </c>
      <c r="N122">
        <f>RTD("tos.rtd", , "52HIGH", A122)</f>
        <v>27.61</v>
      </c>
      <c r="O122">
        <f>RTD("tos.rtd", , "52LOW", A122)</f>
        <v>14.06</v>
      </c>
      <c r="P122">
        <f>RTD("tos.rtd", , "Mark", A122)</f>
        <v>14.8</v>
      </c>
    </row>
    <row r="123" spans="1:16" x14ac:dyDescent="0.25">
      <c r="A123" t="s">
        <v>136</v>
      </c>
      <c r="B123">
        <f>RTD("tos.rtd", , "Last", A123)</f>
        <v>72.91</v>
      </c>
      <c r="C123" t="str">
        <f>RTD("tos.rtd", , "STRENGTH_METER", A123)</f>
        <v>Range Bound</v>
      </c>
      <c r="D123" t="str">
        <f>RTD("tos.rtd", , "QUOTE_TREND", A123)</f>
        <v>instrument=CTSH</v>
      </c>
      <c r="E123">
        <f>RTD("tos.rtd", , "NET_CHANGE", A123)</f>
        <v>-2.4700000000000002</v>
      </c>
      <c r="F123">
        <f>RTD("tos.rtd", , "BID", A123)</f>
        <v>71.959999999999994</v>
      </c>
      <c r="G123">
        <f>RTD("tos.rtd", , "ASK", A123)</f>
        <v>73.61</v>
      </c>
      <c r="H123">
        <f>RTD("tos.rtd", , "BID_SIZE", A123)</f>
        <v>1</v>
      </c>
      <c r="I123">
        <f>RTD("tos.rtd", , "ASK_SIZE", A123)</f>
        <v>3</v>
      </c>
      <c r="J123">
        <f>RTD("tos.rtd", , "VOLUME", A123)</f>
        <v>4516476</v>
      </c>
      <c r="K123">
        <f>RTD("tos.rtd", , "OPEN", A123)</f>
        <v>75.069999999999993</v>
      </c>
      <c r="L123">
        <f>RTD("tos.rtd", , "HIGH",A123)</f>
        <v>75.16</v>
      </c>
      <c r="M123">
        <f>RTD("tos.rtd", , "LOW", A123)</f>
        <v>72.88</v>
      </c>
      <c r="N123">
        <f>RTD("tos.rtd", , "52HIGH", A123)</f>
        <v>76.510000000000005</v>
      </c>
      <c r="O123">
        <f>RTD("tos.rtd", , "52LOW", A123)</f>
        <v>51.35</v>
      </c>
      <c r="P123">
        <f>RTD("tos.rtd", , "Mark", A123)</f>
        <v>72.91</v>
      </c>
    </row>
    <row r="124" spans="1:16" x14ac:dyDescent="0.25">
      <c r="A124" t="s">
        <v>137</v>
      </c>
      <c r="B124">
        <f>RTD("tos.rtd", , "Last", A124)</f>
        <v>86.51</v>
      </c>
      <c r="C124" t="str">
        <f>RTD("tos.rtd", , "STRENGTH_METER", A124)</f>
        <v>Range Bound</v>
      </c>
      <c r="D124" t="str">
        <f>RTD("tos.rtd", , "QUOTE_TREND", A124)</f>
        <v>instrument=CTXS</v>
      </c>
      <c r="E124">
        <f>RTD("tos.rtd", , "NET_CHANGE", A124)</f>
        <v>0.87</v>
      </c>
      <c r="F124">
        <f>RTD("tos.rtd", , "BID", A124)</f>
        <v>84.53</v>
      </c>
      <c r="G124">
        <f>RTD("tos.rtd", , "ASK", A124)</f>
        <v>86.91</v>
      </c>
      <c r="H124">
        <f>RTD("tos.rtd", , "BID_SIZE", A124)</f>
        <v>2</v>
      </c>
      <c r="I124">
        <f>RTD("tos.rtd", , "ASK_SIZE", A124)</f>
        <v>3</v>
      </c>
      <c r="J124">
        <f>RTD("tos.rtd", , "VOLUME", A124)</f>
        <v>2118427</v>
      </c>
      <c r="K124">
        <f>RTD("tos.rtd", , "OPEN", A124)</f>
        <v>85.83</v>
      </c>
      <c r="L124">
        <f>RTD("tos.rtd", , "HIGH",A124)</f>
        <v>87.49</v>
      </c>
      <c r="M124">
        <f>RTD("tos.rtd", , "LOW", A124)</f>
        <v>85.44</v>
      </c>
      <c r="N124">
        <f>RTD("tos.rtd", , "52HIGH", A124)</f>
        <v>87.99</v>
      </c>
      <c r="O124">
        <f>RTD("tos.rtd", , "52LOW", A124)</f>
        <v>67.239130000000003</v>
      </c>
      <c r="P124">
        <f>RTD("tos.rtd", , "Mark", A124)</f>
        <v>86.51</v>
      </c>
    </row>
    <row r="125" spans="1:16" x14ac:dyDescent="0.25">
      <c r="A125" t="s">
        <v>138</v>
      </c>
      <c r="B125">
        <f>RTD("tos.rtd", , "Last", A125)</f>
        <v>0</v>
      </c>
      <c r="C125" t="str">
        <f>RTD("tos.rtd", , "STRENGTH_METER", A125)</f>
        <v>N/A</v>
      </c>
      <c r="D125" t="str">
        <f>RTD("tos.rtd", , "QUOTE_TREND", A125)</f>
        <v>instrument=CVC</v>
      </c>
      <c r="E125">
        <f>RTD("tos.rtd", , "NET_CHANGE", A125)</f>
        <v>0</v>
      </c>
      <c r="F125">
        <f>RTD("tos.rtd", , "BID", A125)</f>
        <v>34.869999999999997</v>
      </c>
      <c r="G125">
        <f>RTD("tos.rtd", , "ASK", A125)</f>
        <v>34.89</v>
      </c>
      <c r="H125">
        <f>RTD("tos.rtd", , "BID_SIZE", A125)</f>
        <v>0</v>
      </c>
      <c r="I125">
        <f>RTD("tos.rtd", , "ASK_SIZE", A125)</f>
        <v>0</v>
      </c>
      <c r="J125">
        <f>RTD("tos.rtd", , "VOLUME", A125)</f>
        <v>0</v>
      </c>
      <c r="K125">
        <f>RTD("tos.rtd", , "OPEN", A125)</f>
        <v>0</v>
      </c>
      <c r="L125">
        <f>RTD("tos.rtd", , "HIGH",A125)</f>
        <v>0</v>
      </c>
      <c r="M125">
        <f>RTD("tos.rtd", , "LOW", A125)</f>
        <v>0</v>
      </c>
      <c r="N125">
        <f>RTD("tos.rtd", , "52HIGH", A125)</f>
        <v>0</v>
      </c>
      <c r="O125">
        <f>RTD("tos.rtd", , "52LOW", A125)</f>
        <v>0</v>
      </c>
      <c r="P125">
        <f>RTD("tos.rtd", , "Mark", A125)</f>
        <v>34.869999999999997</v>
      </c>
    </row>
    <row r="126" spans="1:16" x14ac:dyDescent="0.25">
      <c r="A126" t="s">
        <v>139</v>
      </c>
      <c r="B126">
        <f>RTD("tos.rtd", , "Last", A126)</f>
        <v>70.680000000000007</v>
      </c>
      <c r="C126" t="str">
        <f>RTD("tos.rtd", , "STRENGTH_METER", A126)</f>
        <v>Range Bound</v>
      </c>
      <c r="D126" t="str">
        <f>RTD("tos.rtd", , "QUOTE_TREND", A126)</f>
        <v>instrument=CVS</v>
      </c>
      <c r="E126">
        <f>RTD("tos.rtd", , "NET_CHANGE", A126)</f>
        <v>0.42</v>
      </c>
      <c r="F126">
        <f>RTD("tos.rtd", , "BID", A126)</f>
        <v>70.02</v>
      </c>
      <c r="G126">
        <f>RTD("tos.rtd", , "ASK", A126)</f>
        <v>70.7</v>
      </c>
      <c r="H126">
        <f>RTD("tos.rtd", , "BID_SIZE", A126)</f>
        <v>6</v>
      </c>
      <c r="I126">
        <f>RTD("tos.rtd", , "ASK_SIZE", A126)</f>
        <v>10</v>
      </c>
      <c r="J126">
        <f>RTD("tos.rtd", , "VOLUME", A126)</f>
        <v>5179110</v>
      </c>
      <c r="K126">
        <f>RTD("tos.rtd", , "OPEN", A126)</f>
        <v>70.25</v>
      </c>
      <c r="L126">
        <f>RTD("tos.rtd", , "HIGH",A126)</f>
        <v>71.03</v>
      </c>
      <c r="M126">
        <f>RTD("tos.rtd", , "LOW", A126)</f>
        <v>70</v>
      </c>
      <c r="N126">
        <f>RTD("tos.rtd", , "52HIGH", A126)</f>
        <v>84.72</v>
      </c>
      <c r="O126">
        <f>RTD("tos.rtd", , "52LOW", A126)</f>
        <v>66.45</v>
      </c>
      <c r="P126">
        <f>RTD("tos.rtd", , "Mark", A126)</f>
        <v>70.680000000000007</v>
      </c>
    </row>
    <row r="127" spans="1:16" x14ac:dyDescent="0.25">
      <c r="A127" t="s">
        <v>140</v>
      </c>
      <c r="B127">
        <f>RTD("tos.rtd", , "Last", A127)</f>
        <v>114.71</v>
      </c>
      <c r="C127" t="str">
        <f>RTD("tos.rtd", , "STRENGTH_METER", A127)</f>
        <v>Range Bound</v>
      </c>
      <c r="D127" t="str">
        <f>RTD("tos.rtd", , "QUOTE_TREND", A127)</f>
        <v>instrument=CVX</v>
      </c>
      <c r="E127">
        <f>RTD("tos.rtd", , "NET_CHANGE", A127)</f>
        <v>0.14000000000000001</v>
      </c>
      <c r="F127">
        <f>RTD("tos.rtd", , "BID", A127)</f>
        <v>114.61</v>
      </c>
      <c r="G127">
        <f>RTD("tos.rtd", , "ASK", A127)</f>
        <v>114.83</v>
      </c>
      <c r="H127">
        <f>RTD("tos.rtd", , "BID_SIZE", A127)</f>
        <v>8</v>
      </c>
      <c r="I127">
        <f>RTD("tos.rtd", , "ASK_SIZE", A127)</f>
        <v>1</v>
      </c>
      <c r="J127">
        <f>RTD("tos.rtd", , "VOLUME", A127)</f>
        <v>4328840</v>
      </c>
      <c r="K127">
        <f>RTD("tos.rtd", , "OPEN", A127)</f>
        <v>114.67</v>
      </c>
      <c r="L127">
        <f>RTD("tos.rtd", , "HIGH",A127)</f>
        <v>114.99</v>
      </c>
      <c r="M127">
        <f>RTD("tos.rtd", , "LOW", A127)</f>
        <v>113.9</v>
      </c>
      <c r="N127">
        <f>RTD("tos.rtd", , "52HIGH", A127)</f>
        <v>120.89</v>
      </c>
      <c r="O127">
        <f>RTD("tos.rtd", , "52LOW", A127)</f>
        <v>102.55</v>
      </c>
      <c r="P127">
        <f>RTD("tos.rtd", , "Mark", A127)</f>
        <v>114.71</v>
      </c>
    </row>
    <row r="128" spans="1:16" x14ac:dyDescent="0.25">
      <c r="A128" t="s">
        <v>141</v>
      </c>
      <c r="B128">
        <f>RTD("tos.rtd", , "Last", A128)</f>
        <v>81.319999999999993</v>
      </c>
      <c r="C128" t="str">
        <f>RTD("tos.rtd", , "STRENGTH_METER", A128)</f>
        <v>Range Bound</v>
      </c>
      <c r="D128" t="str">
        <f>RTD("tos.rtd", , "QUOTE_TREND", A128)</f>
        <v>instrument=D</v>
      </c>
      <c r="E128">
        <f>RTD("tos.rtd", , "NET_CHANGE", A128)</f>
        <v>-0.64</v>
      </c>
      <c r="F128">
        <f>RTD("tos.rtd", , "BID", A128)</f>
        <v>77.040000000000006</v>
      </c>
      <c r="G128">
        <f>RTD("tos.rtd", , "ASK", A128)</f>
        <v>85.3</v>
      </c>
      <c r="H128">
        <f>RTD("tos.rtd", , "BID_SIZE", A128)</f>
        <v>1</v>
      </c>
      <c r="I128">
        <f>RTD("tos.rtd", , "ASK_SIZE", A128)</f>
        <v>0</v>
      </c>
      <c r="J128">
        <f>RTD("tos.rtd", , "VOLUME", A128)</f>
        <v>1703379</v>
      </c>
      <c r="K128">
        <f>RTD("tos.rtd", , "OPEN", A128)</f>
        <v>81.66</v>
      </c>
      <c r="L128">
        <f>RTD("tos.rtd", , "HIGH",A128)</f>
        <v>82</v>
      </c>
      <c r="M128">
        <f>RTD("tos.rtd", , "LOW", A128)</f>
        <v>81.25</v>
      </c>
      <c r="N128">
        <f>RTD("tos.rtd", , "52HIGH", A128)</f>
        <v>83.64</v>
      </c>
      <c r="O128">
        <f>RTD("tos.rtd", , "52LOW", A128)</f>
        <v>70.540000000000006</v>
      </c>
      <c r="P128">
        <f>RTD("tos.rtd", , "Mark", A128)</f>
        <v>81.319999999999993</v>
      </c>
    </row>
    <row r="129" spans="1:16" x14ac:dyDescent="0.25">
      <c r="A129" t="s">
        <v>142</v>
      </c>
      <c r="B129">
        <f>RTD("tos.rtd", , "Last", A129)</f>
        <v>83.93</v>
      </c>
      <c r="C129" t="str">
        <f>RTD("tos.rtd", , "STRENGTH_METER", A129)</f>
        <v>Range Bound</v>
      </c>
      <c r="D129" t="str">
        <f>RTD("tos.rtd", , "QUOTE_TREND", A129)</f>
        <v>instrument=DD</v>
      </c>
      <c r="E129">
        <f>RTD("tos.rtd", , "NET_CHANGE", A129)</f>
        <v>0</v>
      </c>
      <c r="F129">
        <f>RTD("tos.rtd", , "BID", A129)</f>
        <v>84.33</v>
      </c>
      <c r="G129">
        <f>RTD("tos.rtd", , "ASK", A129)</f>
        <v>84.97</v>
      </c>
      <c r="H129">
        <f>RTD("tos.rtd", , "BID_SIZE", A129)</f>
        <v>0</v>
      </c>
      <c r="I129">
        <f>RTD("tos.rtd", , "ASK_SIZE", A129)</f>
        <v>0</v>
      </c>
      <c r="J129">
        <f>RTD("tos.rtd", , "VOLUME", A129)</f>
        <v>0</v>
      </c>
      <c r="K129">
        <f>RTD("tos.rtd", , "OPEN", A129)</f>
        <v>0</v>
      </c>
      <c r="L129">
        <f>RTD("tos.rtd", , "HIGH",A129)</f>
        <v>0</v>
      </c>
      <c r="M129">
        <f>RTD("tos.rtd", , "LOW", A129)</f>
        <v>0</v>
      </c>
      <c r="N129">
        <f>RTD("tos.rtd", , "52HIGH", A129)</f>
        <v>86.36</v>
      </c>
      <c r="O129">
        <f>RTD("tos.rtd", , "52LOW", A129)</f>
        <v>66.02</v>
      </c>
      <c r="P129">
        <f>RTD("tos.rtd", , "Mark", A129)</f>
        <v>84.33</v>
      </c>
    </row>
    <row r="130" spans="1:16" x14ac:dyDescent="0.25">
      <c r="A130" t="s">
        <v>16</v>
      </c>
      <c r="B130">
        <f>RTD("tos.rtd", , "Last", A130)</f>
        <v>135.77000000000001</v>
      </c>
      <c r="C130" t="str">
        <f>RTD("tos.rtd", , "STRENGTH_METER", A130)</f>
        <v>Range Bound</v>
      </c>
      <c r="D130" t="str">
        <f>RTD("tos.rtd", , "QUOTE_TREND", A130)</f>
        <v>instrument=DE</v>
      </c>
      <c r="E130">
        <f>RTD("tos.rtd", , "NET_CHANGE", A130)</f>
        <v>1.1599999999999999</v>
      </c>
      <c r="F130">
        <f>RTD("tos.rtd", , "BID", A130)</f>
        <v>135.69</v>
      </c>
      <c r="G130">
        <f>RTD("tos.rtd", , "ASK", A130)</f>
        <v>136.66999999999999</v>
      </c>
      <c r="H130">
        <f>RTD("tos.rtd", , "BID_SIZE", A130)</f>
        <v>1</v>
      </c>
      <c r="I130">
        <f>RTD("tos.rtd", , "ASK_SIZE", A130)</f>
        <v>8</v>
      </c>
      <c r="J130">
        <f>RTD("tos.rtd", , "VOLUME", A130)</f>
        <v>1958393</v>
      </c>
      <c r="K130">
        <f>RTD("tos.rtd", , "OPEN", A130)</f>
        <v>134.01</v>
      </c>
      <c r="L130">
        <f>RTD("tos.rtd", , "HIGH",A130)</f>
        <v>136.51</v>
      </c>
      <c r="M130">
        <f>RTD("tos.rtd", , "LOW", A130)</f>
        <v>133.76</v>
      </c>
      <c r="N130">
        <f>RTD("tos.rtd", , "52HIGH", A130)</f>
        <v>136.69</v>
      </c>
      <c r="O130">
        <f>RTD("tos.rtd", , "52LOW", A130)</f>
        <v>90.75</v>
      </c>
      <c r="P130">
        <f>RTD("tos.rtd", , "Mark", A130)</f>
        <v>135.77000000000001</v>
      </c>
    </row>
    <row r="131" spans="1:16" x14ac:dyDescent="0.25">
      <c r="A131" t="s">
        <v>143</v>
      </c>
      <c r="B131" t="str">
        <f>RTD("tos.rtd", , "Last", A131)</f>
        <v>N/A</v>
      </c>
      <c r="C131" t="str">
        <f>RTD("tos.rtd", , "STRENGTH_METER", A131)</f>
        <v>N/A</v>
      </c>
      <c r="D131" t="str">
        <f>RTD("tos.rtd", , "QUOTE_TREND", A131)</f>
        <v>instrument=DELL</v>
      </c>
      <c r="E131" t="str">
        <f>RTD("tos.rtd", , "NET_CHANGE", A131)</f>
        <v>N/A</v>
      </c>
      <c r="F131" t="str">
        <f>RTD("tos.rtd", , "BID", A131)</f>
        <v>N/A</v>
      </c>
      <c r="G131" t="str">
        <f>RTD("tos.rtd", , "ASK", A131)</f>
        <v>N/A</v>
      </c>
      <c r="H131">
        <f>RTD("tos.rtd", , "BID_SIZE", A131)</f>
        <v>0</v>
      </c>
      <c r="I131">
        <f>RTD("tos.rtd", , "ASK_SIZE", A131)</f>
        <v>0</v>
      </c>
      <c r="J131" t="str">
        <f>RTD("tos.rtd", , "VOLUME", A131)</f>
        <v>N/A</v>
      </c>
      <c r="K131" t="str">
        <f>RTD("tos.rtd", , "OPEN", A131)</f>
        <v>N/A</v>
      </c>
      <c r="L131" t="str">
        <f>RTD("tos.rtd", , "HIGH",A131)</f>
        <v>N/A</v>
      </c>
      <c r="M131" t="str">
        <f>RTD("tos.rtd", , "LOW", A131)</f>
        <v>N/A</v>
      </c>
      <c r="N131" t="str">
        <f>RTD("tos.rtd", , "52HIGH", A131)</f>
        <v>N/A</v>
      </c>
      <c r="O131" t="str">
        <f>RTD("tos.rtd", , "52LOW", A131)</f>
        <v>N/A</v>
      </c>
      <c r="P131" t="str">
        <f>RTD("tos.rtd", , "Mark", A131)</f>
        <v>N/A</v>
      </c>
    </row>
    <row r="132" spans="1:16" x14ac:dyDescent="0.25">
      <c r="A132" t="s">
        <v>144</v>
      </c>
      <c r="B132">
        <f>RTD("tos.rtd", , "Last", A132)</f>
        <v>9.98</v>
      </c>
      <c r="C132" t="str">
        <f>RTD("tos.rtd", , "STRENGTH_METER", A132)</f>
        <v>Range Bound</v>
      </c>
      <c r="D132" t="str">
        <f>RTD("tos.rtd", , "QUOTE_TREND", A132)</f>
        <v>instrument=DF</v>
      </c>
      <c r="E132">
        <f>RTD("tos.rtd", , "NET_CHANGE", A132)</f>
        <v>0.22</v>
      </c>
      <c r="F132">
        <f>RTD("tos.rtd", , "BID", A132)</f>
        <v>9.9499999999999993</v>
      </c>
      <c r="G132">
        <f>RTD("tos.rtd", , "ASK", A132)</f>
        <v>10.01</v>
      </c>
      <c r="H132">
        <f>RTD("tos.rtd", , "BID_SIZE", A132)</f>
        <v>5</v>
      </c>
      <c r="I132">
        <f>RTD("tos.rtd", , "ASK_SIZE", A132)</f>
        <v>8</v>
      </c>
      <c r="J132">
        <f>RTD("tos.rtd", , "VOLUME", A132)</f>
        <v>1857905</v>
      </c>
      <c r="K132">
        <f>RTD("tos.rtd", , "OPEN", A132)</f>
        <v>9.75</v>
      </c>
      <c r="L132">
        <f>RTD("tos.rtd", , "HIGH",A132)</f>
        <v>10.085000000000001</v>
      </c>
      <c r="M132">
        <f>RTD("tos.rtd", , "LOW", A132)</f>
        <v>9.75</v>
      </c>
      <c r="N132">
        <f>RTD("tos.rtd", , "52HIGH", A132)</f>
        <v>22.31</v>
      </c>
      <c r="O132">
        <f>RTD("tos.rtd", , "52LOW", A132)</f>
        <v>9.01</v>
      </c>
      <c r="P132">
        <f>RTD("tos.rtd", , "Mark", A132)</f>
        <v>9.98</v>
      </c>
    </row>
    <row r="133" spans="1:16" x14ac:dyDescent="0.25">
      <c r="A133" t="s">
        <v>145</v>
      </c>
      <c r="B133">
        <f>RTD("tos.rtd", , "Last", A133)</f>
        <v>65.06</v>
      </c>
      <c r="C133" t="str">
        <f>RTD("tos.rtd", , "STRENGTH_METER", A133)</f>
        <v>Range Bound</v>
      </c>
      <c r="D133" t="str">
        <f>RTD("tos.rtd", , "QUOTE_TREND", A133)</f>
        <v>instrument=DFS</v>
      </c>
      <c r="E133">
        <f>RTD("tos.rtd", , "NET_CHANGE", A133)</f>
        <v>0.24</v>
      </c>
      <c r="F133">
        <f>RTD("tos.rtd", , "BID", A133)</f>
        <v>64.5</v>
      </c>
      <c r="G133">
        <f>RTD("tos.rtd", , "ASK", A133)</f>
        <v>66.180000000000007</v>
      </c>
      <c r="H133">
        <f>RTD("tos.rtd", , "BID_SIZE", A133)</f>
        <v>30</v>
      </c>
      <c r="I133">
        <f>RTD("tos.rtd", , "ASK_SIZE", A133)</f>
        <v>7</v>
      </c>
      <c r="J133">
        <f>RTD("tos.rtd", , "VOLUME", A133)</f>
        <v>1487895</v>
      </c>
      <c r="K133">
        <f>RTD("tos.rtd", , "OPEN", A133)</f>
        <v>64.599999999999994</v>
      </c>
      <c r="L133">
        <f>RTD("tos.rtd", , "HIGH",A133)</f>
        <v>65.3904</v>
      </c>
      <c r="M133">
        <f>RTD("tos.rtd", , "LOW", A133)</f>
        <v>64.5</v>
      </c>
      <c r="N133">
        <f>RTD("tos.rtd", , "52HIGH", A133)</f>
        <v>74.33</v>
      </c>
      <c r="O133">
        <f>RTD("tos.rtd", , "52LOW", A133)</f>
        <v>57.5</v>
      </c>
      <c r="P133">
        <f>RTD("tos.rtd", , "Mark", A133)</f>
        <v>65.06</v>
      </c>
    </row>
    <row r="134" spans="1:16" x14ac:dyDescent="0.25">
      <c r="A134" t="s">
        <v>146</v>
      </c>
      <c r="B134">
        <f>RTD("tos.rtd", , "Last", A134)</f>
        <v>85.5</v>
      </c>
      <c r="C134" t="str">
        <f>RTD("tos.rtd", , "STRENGTH_METER", A134)</f>
        <v>Range Bound</v>
      </c>
      <c r="D134" t="str">
        <f>RTD("tos.rtd", , "QUOTE_TREND", A134)</f>
        <v>instrument=DG</v>
      </c>
      <c r="E134">
        <f>RTD("tos.rtd", , "NET_CHANGE", A134)</f>
        <v>0.59</v>
      </c>
      <c r="F134">
        <f>RTD("tos.rtd", , "BID", A134)</f>
        <v>85.22</v>
      </c>
      <c r="G134">
        <f>RTD("tos.rtd", , "ASK", A134)</f>
        <v>85.52</v>
      </c>
      <c r="H134">
        <f>RTD("tos.rtd", , "BID_SIZE", A134)</f>
        <v>1</v>
      </c>
      <c r="I134">
        <f>RTD("tos.rtd", , "ASK_SIZE", A134)</f>
        <v>1</v>
      </c>
      <c r="J134">
        <f>RTD("tos.rtd", , "VOLUME", A134)</f>
        <v>2439401</v>
      </c>
      <c r="K134">
        <f>RTD("tos.rtd", , "OPEN", A134)</f>
        <v>84.94</v>
      </c>
      <c r="L134">
        <f>RTD("tos.rtd", , "HIGH",A134)</f>
        <v>85.52</v>
      </c>
      <c r="M134">
        <f>RTD("tos.rtd", , "LOW", A134)</f>
        <v>84.465000000000003</v>
      </c>
      <c r="N134">
        <f>RTD("tos.rtd", , "52HIGH", A134)</f>
        <v>85.11</v>
      </c>
      <c r="O134">
        <f>RTD("tos.rtd", , "52LOW", A134)</f>
        <v>65.97</v>
      </c>
      <c r="P134">
        <f>RTD("tos.rtd", , "Mark", A134)</f>
        <v>85.5</v>
      </c>
    </row>
    <row r="135" spans="1:16" x14ac:dyDescent="0.25">
      <c r="A135" t="s">
        <v>147</v>
      </c>
      <c r="B135">
        <f>RTD("tos.rtd", , "Last", A135)</f>
        <v>93.04</v>
      </c>
      <c r="C135" t="str">
        <f>RTD("tos.rtd", , "STRENGTH_METER", A135)</f>
        <v>Range Bound</v>
      </c>
      <c r="D135" t="str">
        <f>RTD("tos.rtd", , "QUOTE_TREND", A135)</f>
        <v>instrument=DGX</v>
      </c>
      <c r="E135">
        <f>RTD("tos.rtd", , "NET_CHANGE", A135)</f>
        <v>0.1</v>
      </c>
      <c r="F135">
        <f>RTD("tos.rtd", , "BID", A135)</f>
        <v>91.45</v>
      </c>
      <c r="G135">
        <f>RTD("tos.rtd", , "ASK", A135)</f>
        <v>96.7</v>
      </c>
      <c r="H135">
        <f>RTD("tos.rtd", , "BID_SIZE", A135)</f>
        <v>9</v>
      </c>
      <c r="I135">
        <f>RTD("tos.rtd", , "ASK_SIZE", A135)</f>
        <v>2</v>
      </c>
      <c r="J135">
        <f>RTD("tos.rtd", , "VOLUME", A135)</f>
        <v>2007921</v>
      </c>
      <c r="K135">
        <f>RTD("tos.rtd", , "OPEN", A135)</f>
        <v>92.63</v>
      </c>
      <c r="L135">
        <f>RTD("tos.rtd", , "HIGH",A135)</f>
        <v>93.715000000000003</v>
      </c>
      <c r="M135">
        <f>RTD("tos.rtd", , "LOW", A135)</f>
        <v>92.02</v>
      </c>
      <c r="N135">
        <f>RTD("tos.rtd", , "52HIGH", A135)</f>
        <v>112.965</v>
      </c>
      <c r="O135">
        <f>RTD("tos.rtd", , "52LOW", A135)</f>
        <v>84.47</v>
      </c>
      <c r="P135">
        <f>RTD("tos.rtd", , "Mark", A135)</f>
        <v>93.04</v>
      </c>
    </row>
    <row r="136" spans="1:16" x14ac:dyDescent="0.25">
      <c r="A136" t="s">
        <v>148</v>
      </c>
      <c r="B136">
        <f>RTD("tos.rtd", , "Last", A136)</f>
        <v>48.13</v>
      </c>
      <c r="C136" t="str">
        <f>RTD("tos.rtd", , "STRENGTH_METER", A136)</f>
        <v>Uptrend</v>
      </c>
      <c r="D136" t="str">
        <f>RTD("tos.rtd", , "QUOTE_TREND", A136)</f>
        <v>instrument=DHI</v>
      </c>
      <c r="E136">
        <f>RTD("tos.rtd", , "NET_CHANGE", A136)</f>
        <v>0.61</v>
      </c>
      <c r="F136">
        <f>RTD("tos.rtd", , "BID", A136)</f>
        <v>48.01</v>
      </c>
      <c r="G136">
        <f>RTD("tos.rtd", , "ASK", A136)</f>
        <v>48.17</v>
      </c>
      <c r="H136">
        <f>RTD("tos.rtd", , "BID_SIZE", A136)</f>
        <v>3</v>
      </c>
      <c r="I136">
        <f>RTD("tos.rtd", , "ASK_SIZE", A136)</f>
        <v>2</v>
      </c>
      <c r="J136">
        <f>RTD("tos.rtd", , "VOLUME", A136)</f>
        <v>3011998</v>
      </c>
      <c r="K136">
        <f>RTD("tos.rtd", , "OPEN", A136)</f>
        <v>47.43</v>
      </c>
      <c r="L136">
        <f>RTD("tos.rtd", , "HIGH",A136)</f>
        <v>48.31</v>
      </c>
      <c r="M136">
        <f>RTD("tos.rtd", , "LOW", A136)</f>
        <v>47.41</v>
      </c>
      <c r="N136">
        <f>RTD("tos.rtd", , "52HIGH", A136)</f>
        <v>47.91</v>
      </c>
      <c r="O136">
        <f>RTD("tos.rtd", , "52LOW", A136)</f>
        <v>27.145</v>
      </c>
      <c r="P136">
        <f>RTD("tos.rtd", , "Mark", A136)</f>
        <v>48.13</v>
      </c>
    </row>
    <row r="137" spans="1:16" x14ac:dyDescent="0.25">
      <c r="A137" t="s">
        <v>149</v>
      </c>
      <c r="B137">
        <f>RTD("tos.rtd", , "Last", A137)</f>
        <v>93.3</v>
      </c>
      <c r="C137" t="str">
        <f>RTD("tos.rtd", , "STRENGTH_METER", A137)</f>
        <v>Range Bound</v>
      </c>
      <c r="D137" t="str">
        <f>RTD("tos.rtd", , "QUOTE_TREND", A137)</f>
        <v>instrument=DHR</v>
      </c>
      <c r="E137">
        <f>RTD("tos.rtd", , "NET_CHANGE", A137)</f>
        <v>-0.28000000000000003</v>
      </c>
      <c r="F137">
        <f>RTD("tos.rtd", , "BID", A137)</f>
        <v>84.79</v>
      </c>
      <c r="G137">
        <f>RTD("tos.rtd", , "ASK", A137)</f>
        <v>94.25</v>
      </c>
      <c r="H137">
        <f>RTD("tos.rtd", , "BID_SIZE", A137)</f>
        <v>1</v>
      </c>
      <c r="I137">
        <f>RTD("tos.rtd", , "ASK_SIZE", A137)</f>
        <v>3</v>
      </c>
      <c r="J137">
        <f>RTD("tos.rtd", , "VOLUME", A137)</f>
        <v>1458185</v>
      </c>
      <c r="K137">
        <f>RTD("tos.rtd", , "OPEN", A137)</f>
        <v>93.12</v>
      </c>
      <c r="L137">
        <f>RTD("tos.rtd", , "HIGH",A137)</f>
        <v>93.64</v>
      </c>
      <c r="M137">
        <f>RTD("tos.rtd", , "LOW", A137)</f>
        <v>92.8</v>
      </c>
      <c r="N137">
        <f>RTD("tos.rtd", , "52HIGH", A137)</f>
        <v>93.86</v>
      </c>
      <c r="O137">
        <f>RTD("tos.rtd", , "52LOW", A137)</f>
        <v>76.27</v>
      </c>
      <c r="P137">
        <f>RTD("tos.rtd", , "Mark", A137)</f>
        <v>93.3</v>
      </c>
    </row>
    <row r="138" spans="1:16" x14ac:dyDescent="0.25">
      <c r="A138" t="s">
        <v>150</v>
      </c>
      <c r="B138">
        <f>RTD("tos.rtd", , "Last", A138)</f>
        <v>103.44</v>
      </c>
      <c r="C138" t="str">
        <f>RTD("tos.rtd", , "STRENGTH_METER", A138)</f>
        <v>Range Bound</v>
      </c>
      <c r="D138" t="str">
        <f>RTD("tos.rtd", , "QUOTE_TREND", A138)</f>
        <v>instrument=DIS</v>
      </c>
      <c r="E138">
        <f>RTD("tos.rtd", , "NET_CHANGE", A138)</f>
        <v>-0.16</v>
      </c>
      <c r="F138">
        <f>RTD("tos.rtd", , "BID", A138)</f>
        <v>102.9</v>
      </c>
      <c r="G138">
        <f>RTD("tos.rtd", , "ASK", A138)</f>
        <v>103.48</v>
      </c>
      <c r="H138">
        <f>RTD("tos.rtd", , "BID_SIZE", A138)</f>
        <v>1</v>
      </c>
      <c r="I138">
        <f>RTD("tos.rtd", , "ASK_SIZE", A138)</f>
        <v>14</v>
      </c>
      <c r="J138">
        <f>RTD("tos.rtd", , "VOLUME", A138)</f>
        <v>7435926</v>
      </c>
      <c r="K138">
        <f>RTD("tos.rtd", , "OPEN", A138)</f>
        <v>103.22</v>
      </c>
      <c r="L138">
        <f>RTD("tos.rtd", , "HIGH",A138)</f>
        <v>103.99</v>
      </c>
      <c r="M138">
        <f>RTD("tos.rtd", , "LOW", A138)</f>
        <v>102.971</v>
      </c>
      <c r="N138">
        <f>RTD("tos.rtd", , "52HIGH", A138)</f>
        <v>116.1</v>
      </c>
      <c r="O138">
        <f>RTD("tos.rtd", , "52LOW", A138)</f>
        <v>96.2</v>
      </c>
      <c r="P138">
        <f>RTD("tos.rtd", , "Mark", A138)</f>
        <v>103.44</v>
      </c>
    </row>
    <row r="139" spans="1:16" x14ac:dyDescent="0.25">
      <c r="A139" t="s">
        <v>151</v>
      </c>
      <c r="B139">
        <f>RTD("tos.rtd", , "Last", A139)</f>
        <v>17.55</v>
      </c>
      <c r="C139" t="str">
        <f>RTD("tos.rtd", , "STRENGTH_METER", A139)</f>
        <v>Range Bound</v>
      </c>
      <c r="D139" t="str">
        <f>RTD("tos.rtd", , "QUOTE_TREND", A139)</f>
        <v>instrument=DISCA</v>
      </c>
      <c r="E139">
        <f>RTD("tos.rtd", , "NET_CHANGE", A139)</f>
        <v>0.79</v>
      </c>
      <c r="F139">
        <f>RTD("tos.rtd", , "BID", A139)</f>
        <v>17.5</v>
      </c>
      <c r="G139">
        <f>RTD("tos.rtd", , "ASK", A139)</f>
        <v>17.57</v>
      </c>
      <c r="H139">
        <f>RTD("tos.rtd", , "BID_SIZE", A139)</f>
        <v>3</v>
      </c>
      <c r="I139">
        <f>RTD("tos.rtd", , "ASK_SIZE", A139)</f>
        <v>3</v>
      </c>
      <c r="J139">
        <f>RTD("tos.rtd", , "VOLUME", A139)</f>
        <v>6900814</v>
      </c>
      <c r="K139">
        <f>RTD("tos.rtd", , "OPEN", A139)</f>
        <v>17.385000000000002</v>
      </c>
      <c r="L139">
        <f>RTD("tos.rtd", , "HIGH",A139)</f>
        <v>17.73</v>
      </c>
      <c r="M139">
        <f>RTD("tos.rtd", , "LOW", A139)</f>
        <v>16.82</v>
      </c>
      <c r="N139">
        <f>RTD("tos.rtd", , "52HIGH", A139)</f>
        <v>30.25</v>
      </c>
      <c r="O139">
        <f>RTD("tos.rtd", , "52LOW", A139)</f>
        <v>15.99</v>
      </c>
      <c r="P139">
        <f>RTD("tos.rtd", , "Mark", A139)</f>
        <v>17.55</v>
      </c>
    </row>
    <row r="140" spans="1:16" x14ac:dyDescent="0.25">
      <c r="A140" t="s">
        <v>152</v>
      </c>
      <c r="B140">
        <f>RTD("tos.rtd", , "Last", A140)</f>
        <v>98.7</v>
      </c>
      <c r="C140" t="str">
        <f>RTD("tos.rtd", , "STRENGTH_METER", A140)</f>
        <v>Range Bound</v>
      </c>
      <c r="D140" t="str">
        <f>RTD("tos.rtd", , "QUOTE_TREND", A140)</f>
        <v>instrument=DLPH</v>
      </c>
      <c r="E140">
        <f>RTD("tos.rtd", , "NET_CHANGE", A140)</f>
        <v>-0.54</v>
      </c>
      <c r="F140">
        <f>RTD("tos.rtd", , "BID", A140)</f>
        <v>93.76</v>
      </c>
      <c r="G140">
        <f>RTD("tos.rtd", , "ASK", A140)</f>
        <v>103.69</v>
      </c>
      <c r="H140">
        <f>RTD("tos.rtd", , "BID_SIZE", A140)</f>
        <v>1</v>
      </c>
      <c r="I140">
        <f>RTD("tos.rtd", , "ASK_SIZE", A140)</f>
        <v>1</v>
      </c>
      <c r="J140">
        <f>RTD("tos.rtd", , "VOLUME", A140)</f>
        <v>1492700</v>
      </c>
      <c r="K140">
        <f>RTD("tos.rtd", , "OPEN", A140)</f>
        <v>98.92</v>
      </c>
      <c r="L140">
        <f>RTD("tos.rtd", , "HIGH",A140)</f>
        <v>99.28</v>
      </c>
      <c r="M140">
        <f>RTD("tos.rtd", , "LOW", A140)</f>
        <v>97.67</v>
      </c>
      <c r="N140">
        <f>RTD("tos.rtd", , "52HIGH", A140)</f>
        <v>104.09</v>
      </c>
      <c r="O140">
        <f>RTD("tos.rtd", , "52LOW", A140)</f>
        <v>60.5</v>
      </c>
      <c r="P140">
        <f>RTD("tos.rtd", , "Mark", A140)</f>
        <v>98.7</v>
      </c>
    </row>
    <row r="141" spans="1:16" x14ac:dyDescent="0.25">
      <c r="A141" t="s">
        <v>153</v>
      </c>
      <c r="B141">
        <f>RTD("tos.rtd", , "Last", A141)</f>
        <v>94.61</v>
      </c>
      <c r="C141" t="str">
        <f>RTD("tos.rtd", , "STRENGTH_METER", A141)</f>
        <v>Range Bound</v>
      </c>
      <c r="D141" t="str">
        <f>RTD("tos.rtd", , "QUOTE_TREND", A141)</f>
        <v>instrument=DLTR</v>
      </c>
      <c r="E141">
        <f>RTD("tos.rtd", , "NET_CHANGE", A141)</f>
        <v>-0.02</v>
      </c>
      <c r="F141">
        <f>RTD("tos.rtd", , "BID", A141)</f>
        <v>93.7</v>
      </c>
      <c r="G141">
        <f>RTD("tos.rtd", , "ASK", A141)</f>
        <v>95.2</v>
      </c>
      <c r="H141">
        <f>RTD("tos.rtd", , "BID_SIZE", A141)</f>
        <v>2</v>
      </c>
      <c r="I141">
        <f>RTD("tos.rtd", , "ASK_SIZE", A141)</f>
        <v>2</v>
      </c>
      <c r="J141">
        <f>RTD("tos.rtd", , "VOLUME", A141)</f>
        <v>1931550</v>
      </c>
      <c r="K141">
        <f>RTD("tos.rtd", , "OPEN", A141)</f>
        <v>94.79</v>
      </c>
      <c r="L141">
        <f>RTD("tos.rtd", , "HIGH",A141)</f>
        <v>95.22</v>
      </c>
      <c r="M141">
        <f>RTD("tos.rtd", , "LOW", A141)</f>
        <v>93.99</v>
      </c>
      <c r="N141">
        <f>RTD("tos.rtd", , "52HIGH", A141)</f>
        <v>95.64</v>
      </c>
      <c r="O141">
        <f>RTD("tos.rtd", , "52LOW", A141)</f>
        <v>65.63</v>
      </c>
      <c r="P141">
        <f>RTD("tos.rtd", , "Mark", A141)</f>
        <v>94.61</v>
      </c>
    </row>
    <row r="142" spans="1:16" x14ac:dyDescent="0.25">
      <c r="A142" t="s">
        <v>154</v>
      </c>
      <c r="B142">
        <f>RTD("tos.rtd", , "Last", A142)</f>
        <v>119.27</v>
      </c>
      <c r="C142" t="str">
        <f>RTD("tos.rtd", , "STRENGTH_METER", A142)</f>
        <v>Range Bound</v>
      </c>
      <c r="D142" t="str">
        <f>RTD("tos.rtd", , "QUOTE_TREND", A142)</f>
        <v>instrument=DNB</v>
      </c>
      <c r="E142">
        <f>RTD("tos.rtd", , "NET_CHANGE", A142)</f>
        <v>1.4</v>
      </c>
      <c r="F142">
        <f>RTD("tos.rtd", , "BID", A142)</f>
        <v>112.38</v>
      </c>
      <c r="G142">
        <f>RTD("tos.rtd", , "ASK", A142)</f>
        <v>126.27</v>
      </c>
      <c r="H142">
        <f>RTD("tos.rtd", , "BID_SIZE", A142)</f>
        <v>1</v>
      </c>
      <c r="I142">
        <f>RTD("tos.rtd", , "ASK_SIZE", A142)</f>
        <v>1</v>
      </c>
      <c r="J142">
        <f>RTD("tos.rtd", , "VOLUME", A142)</f>
        <v>163695</v>
      </c>
      <c r="K142">
        <f>RTD("tos.rtd", , "OPEN", A142)</f>
        <v>117.73</v>
      </c>
      <c r="L142">
        <f>RTD("tos.rtd", , "HIGH",A142)</f>
        <v>119.485</v>
      </c>
      <c r="M142">
        <f>RTD("tos.rtd", , "LOW", A142)</f>
        <v>117.73</v>
      </c>
      <c r="N142">
        <f>RTD("tos.rtd", , "52HIGH", A142)</f>
        <v>125.565</v>
      </c>
      <c r="O142">
        <f>RTD("tos.rtd", , "52LOW", A142)</f>
        <v>100.46</v>
      </c>
      <c r="P142">
        <f>RTD("tos.rtd", , "Mark", A142)</f>
        <v>119.27</v>
      </c>
    </row>
    <row r="143" spans="1:16" x14ac:dyDescent="0.25">
      <c r="A143" t="s">
        <v>155</v>
      </c>
      <c r="B143">
        <f>RTD("tos.rtd", , "Last", A143)</f>
        <v>1.74</v>
      </c>
      <c r="C143" t="str">
        <f>RTD("tos.rtd", , "STRENGTH_METER", A143)</f>
        <v>Uptrend</v>
      </c>
      <c r="D143" t="str">
        <f>RTD("tos.rtd", , "QUOTE_TREND", A143)</f>
        <v>instrument=DNR</v>
      </c>
      <c r="E143">
        <f>RTD("tos.rtd", , "NET_CHANGE", A143)</f>
        <v>0.11</v>
      </c>
      <c r="F143">
        <f>RTD("tos.rtd", , "BID", A143)</f>
        <v>1.68</v>
      </c>
      <c r="G143">
        <f>RTD("tos.rtd", , "ASK", A143)</f>
        <v>1.74</v>
      </c>
      <c r="H143">
        <f>RTD("tos.rtd", , "BID_SIZE", A143)</f>
        <v>6</v>
      </c>
      <c r="I143">
        <f>RTD("tos.rtd", , "ASK_SIZE", A143)</f>
        <v>82</v>
      </c>
      <c r="J143">
        <f>RTD("tos.rtd", , "VOLUME", A143)</f>
        <v>5292857</v>
      </c>
      <c r="K143">
        <f>RTD("tos.rtd", , "OPEN", A143)</f>
        <v>1.67</v>
      </c>
      <c r="L143">
        <f>RTD("tos.rtd", , "HIGH",A143)</f>
        <v>1.74</v>
      </c>
      <c r="M143">
        <f>RTD("tos.rtd", , "LOW", A143)</f>
        <v>1.64</v>
      </c>
      <c r="N143">
        <f>RTD("tos.rtd", , "52HIGH", A143)</f>
        <v>4.29</v>
      </c>
      <c r="O143">
        <f>RTD("tos.rtd", , "52LOW", A143)</f>
        <v>0.91479999999999995</v>
      </c>
      <c r="P143">
        <f>RTD("tos.rtd", , "Mark", A143)</f>
        <v>1.74</v>
      </c>
    </row>
    <row r="144" spans="1:16" x14ac:dyDescent="0.25">
      <c r="A144" t="s">
        <v>156</v>
      </c>
      <c r="B144">
        <f>RTD("tos.rtd", , "Last", A144)</f>
        <v>16.059999999999999</v>
      </c>
      <c r="C144" t="str">
        <f>RTD("tos.rtd", , "STRENGTH_METER", A144)</f>
        <v>Range Bound</v>
      </c>
      <c r="D144" t="str">
        <f>RTD("tos.rtd", , "QUOTE_TREND", A144)</f>
        <v>instrument=DO</v>
      </c>
      <c r="E144">
        <f>RTD("tos.rtd", , "NET_CHANGE", A144)</f>
        <v>0.3</v>
      </c>
      <c r="F144">
        <f>RTD("tos.rtd", , "BID", A144)</f>
        <v>15.57</v>
      </c>
      <c r="G144">
        <f>RTD("tos.rtd", , "ASK", A144)</f>
        <v>16.2</v>
      </c>
      <c r="H144">
        <f>RTD("tos.rtd", , "BID_SIZE", A144)</f>
        <v>1</v>
      </c>
      <c r="I144">
        <f>RTD("tos.rtd", , "ASK_SIZE", A144)</f>
        <v>8</v>
      </c>
      <c r="J144">
        <f>RTD("tos.rtd", , "VOLUME", A144)</f>
        <v>1452194</v>
      </c>
      <c r="K144">
        <f>RTD("tos.rtd", , "OPEN", A144)</f>
        <v>15.84</v>
      </c>
      <c r="L144">
        <f>RTD("tos.rtd", , "HIGH",A144)</f>
        <v>16.190000000000001</v>
      </c>
      <c r="M144">
        <f>RTD("tos.rtd", , "LOW", A144)</f>
        <v>15.63</v>
      </c>
      <c r="N144">
        <f>RTD("tos.rtd", , "52HIGH", A144)</f>
        <v>22.65</v>
      </c>
      <c r="O144">
        <f>RTD("tos.rtd", , "52LOW", A144)</f>
        <v>10.055</v>
      </c>
      <c r="P144">
        <f>RTD("tos.rtd", , "Mark", A144)</f>
        <v>16.059999999999999</v>
      </c>
    </row>
    <row r="145" spans="1:16" x14ac:dyDescent="0.25">
      <c r="A145" t="s">
        <v>157</v>
      </c>
      <c r="B145">
        <f>RTD("tos.rtd", , "Last", A145)</f>
        <v>94.22</v>
      </c>
      <c r="C145" t="str">
        <f>RTD("tos.rtd", , "STRENGTH_METER", A145)</f>
        <v>Range Bound</v>
      </c>
      <c r="D145" t="str">
        <f>RTD("tos.rtd", , "QUOTE_TREND", A145)</f>
        <v>instrument=DOV</v>
      </c>
      <c r="E145">
        <f>RTD("tos.rtd", , "NET_CHANGE", A145)</f>
        <v>0.21</v>
      </c>
      <c r="F145">
        <f>RTD("tos.rtd", , "BID", A145)</f>
        <v>85.9</v>
      </c>
      <c r="G145">
        <f>RTD("tos.rtd", , "ASK", A145)</f>
        <v>118.2</v>
      </c>
      <c r="H145">
        <f>RTD("tos.rtd", , "BID_SIZE", A145)</f>
        <v>17</v>
      </c>
      <c r="I145">
        <f>RTD("tos.rtd", , "ASK_SIZE", A145)</f>
        <v>2</v>
      </c>
      <c r="J145">
        <f>RTD("tos.rtd", , "VOLUME", A145)</f>
        <v>944832</v>
      </c>
      <c r="K145">
        <f>RTD("tos.rtd", , "OPEN", A145)</f>
        <v>93.51</v>
      </c>
      <c r="L145">
        <f>RTD("tos.rtd", , "HIGH",A145)</f>
        <v>94.48</v>
      </c>
      <c r="M145">
        <f>RTD("tos.rtd", , "LOW", A145)</f>
        <v>93.07</v>
      </c>
      <c r="N145">
        <f>RTD("tos.rtd", , "52HIGH", A145)</f>
        <v>97.09</v>
      </c>
      <c r="O145">
        <f>RTD("tos.rtd", , "52LOW", A145)</f>
        <v>68.099999999999994</v>
      </c>
      <c r="P145">
        <f>RTD("tos.rtd", , "Mark", A145)</f>
        <v>94.22</v>
      </c>
    </row>
    <row r="146" spans="1:16" x14ac:dyDescent="0.25">
      <c r="A146" t="s">
        <v>158</v>
      </c>
      <c r="B146">
        <f>RTD("tos.rtd", , "Last", A146)</f>
        <v>66.650000000000006</v>
      </c>
      <c r="C146" t="str">
        <f>RTD("tos.rtd", , "STRENGTH_METER", A146)</f>
        <v>Range Bound</v>
      </c>
      <c r="D146" t="str">
        <f>RTD("tos.rtd", , "QUOTE_TREND", A146)</f>
        <v>instrument=DOW</v>
      </c>
      <c r="E146">
        <f>RTD("tos.rtd", , "NET_CHANGE", A146)</f>
        <v>0</v>
      </c>
      <c r="F146">
        <f>RTD("tos.rtd", , "BID", A146)</f>
        <v>66</v>
      </c>
      <c r="G146">
        <f>RTD("tos.rtd", , "ASK", A146)</f>
        <v>66.400000000000006</v>
      </c>
      <c r="H146">
        <f>RTD("tos.rtd", , "BID_SIZE", A146)</f>
        <v>0</v>
      </c>
      <c r="I146">
        <f>RTD("tos.rtd", , "ASK_SIZE", A146)</f>
        <v>0</v>
      </c>
      <c r="J146">
        <f>RTD("tos.rtd", , "VOLUME", A146)</f>
        <v>0</v>
      </c>
      <c r="K146">
        <f>RTD("tos.rtd", , "OPEN", A146)</f>
        <v>0</v>
      </c>
      <c r="L146">
        <f>RTD("tos.rtd", , "HIGH",A146)</f>
        <v>0</v>
      </c>
      <c r="M146">
        <f>RTD("tos.rtd", , "LOW", A146)</f>
        <v>0</v>
      </c>
      <c r="N146">
        <f>RTD("tos.rtd", , "52HIGH", A146)</f>
        <v>67.5</v>
      </c>
      <c r="O146">
        <f>RTD("tos.rtd", , "52LOW", A146)</f>
        <v>51.57</v>
      </c>
      <c r="P146">
        <f>RTD("tos.rtd", , "Mark", A146)</f>
        <v>66.400000000000006</v>
      </c>
    </row>
    <row r="147" spans="1:16" x14ac:dyDescent="0.25">
      <c r="A147" t="s">
        <v>159</v>
      </c>
      <c r="B147">
        <f>RTD("tos.rtd", , "Last", A147)</f>
        <v>87.26</v>
      </c>
      <c r="C147" t="str">
        <f>RTD("tos.rtd", , "STRENGTH_METER", A147)</f>
        <v>Range Bound</v>
      </c>
      <c r="D147" t="str">
        <f>RTD("tos.rtd", , "QUOTE_TREND", A147)</f>
        <v>instrument=DPS</v>
      </c>
      <c r="E147">
        <f>RTD("tos.rtd", , "NET_CHANGE", A147)</f>
        <v>0.14000000000000001</v>
      </c>
      <c r="F147">
        <f>RTD("tos.rtd", , "BID", A147)</f>
        <v>87.3</v>
      </c>
      <c r="G147">
        <f>RTD("tos.rtd", , "ASK", A147)</f>
        <v>87.33</v>
      </c>
      <c r="H147">
        <f>RTD("tos.rtd", , "BID_SIZE", A147)</f>
        <v>4</v>
      </c>
      <c r="I147">
        <f>RTD("tos.rtd", , "ASK_SIZE", A147)</f>
        <v>1</v>
      </c>
      <c r="J147">
        <f>RTD("tos.rtd", , "VOLUME", A147)</f>
        <v>663030</v>
      </c>
      <c r="K147">
        <f>RTD("tos.rtd", , "OPEN", A147)</f>
        <v>86.81</v>
      </c>
      <c r="L147">
        <f>RTD("tos.rtd", , "HIGH",A147)</f>
        <v>87.29</v>
      </c>
      <c r="M147">
        <f>RTD("tos.rtd", , "LOW", A147)</f>
        <v>86.54</v>
      </c>
      <c r="N147">
        <f>RTD("tos.rtd", , "52HIGH", A147)</f>
        <v>99.47</v>
      </c>
      <c r="O147">
        <f>RTD("tos.rtd", , "52LOW", A147)</f>
        <v>82.24</v>
      </c>
      <c r="P147">
        <f>RTD("tos.rtd", , "Mark", A147)</f>
        <v>87.3</v>
      </c>
    </row>
    <row r="148" spans="1:16" x14ac:dyDescent="0.25">
      <c r="A148" t="s">
        <v>160</v>
      </c>
      <c r="B148">
        <f>RTD("tos.rtd", , "Last", A148)</f>
        <v>82.81</v>
      </c>
      <c r="C148" t="str">
        <f>RTD("tos.rtd", , "STRENGTH_METER", A148)</f>
        <v>Range Bound</v>
      </c>
      <c r="D148" t="str">
        <f>RTD("tos.rtd", , "QUOTE_TREND", A148)</f>
        <v>instrument=DRI</v>
      </c>
      <c r="E148">
        <f>RTD("tos.rtd", , "NET_CHANGE", A148)</f>
        <v>0.48</v>
      </c>
      <c r="F148">
        <f>RTD("tos.rtd", , "BID", A148)</f>
        <v>79.84</v>
      </c>
      <c r="G148">
        <f>RTD("tos.rtd", , "ASK", A148)</f>
        <v>84.02</v>
      </c>
      <c r="H148">
        <f>RTD("tos.rtd", , "BID_SIZE", A148)</f>
        <v>1</v>
      </c>
      <c r="I148">
        <f>RTD("tos.rtd", , "ASK_SIZE", A148)</f>
        <v>1</v>
      </c>
      <c r="J148">
        <f>RTD("tos.rtd", , "VOLUME", A148)</f>
        <v>686275</v>
      </c>
      <c r="K148">
        <f>RTD("tos.rtd", , "OPEN", A148)</f>
        <v>82.49</v>
      </c>
      <c r="L148">
        <f>RTD("tos.rtd", , "HIGH",A148)</f>
        <v>83.23</v>
      </c>
      <c r="M148">
        <f>RTD("tos.rtd", , "LOW", A148)</f>
        <v>82.2</v>
      </c>
      <c r="N148">
        <f>RTD("tos.rtd", , "52HIGH", A148)</f>
        <v>95.22</v>
      </c>
      <c r="O148">
        <f>RTD("tos.rtd", , "52LOW", A148)</f>
        <v>70.97</v>
      </c>
      <c r="P148">
        <f>RTD("tos.rtd", , "Mark", A148)</f>
        <v>82.81</v>
      </c>
    </row>
    <row r="149" spans="1:16" x14ac:dyDescent="0.25">
      <c r="A149" t="s">
        <v>161</v>
      </c>
      <c r="B149">
        <f>RTD("tos.rtd", , "Last", A149)</f>
        <v>112.92</v>
      </c>
      <c r="C149" t="str">
        <f>RTD("tos.rtd", , "STRENGTH_METER", A149)</f>
        <v>Range Bound</v>
      </c>
      <c r="D149" t="str">
        <f>RTD("tos.rtd", , "QUOTE_TREND", A149)</f>
        <v>instrument=DTE</v>
      </c>
      <c r="E149">
        <f>RTD("tos.rtd", , "NET_CHANGE", A149)</f>
        <v>-1.07</v>
      </c>
      <c r="F149">
        <f>RTD("tos.rtd", , "BID", A149)</f>
        <v>78.38</v>
      </c>
      <c r="G149">
        <f>RTD("tos.rtd", , "ASK", A149)</f>
        <v>112.91</v>
      </c>
      <c r="H149">
        <f>RTD("tos.rtd", , "BID_SIZE", A149)</f>
        <v>1</v>
      </c>
      <c r="I149">
        <f>RTD("tos.rtd", , "ASK_SIZE", A149)</f>
        <v>0</v>
      </c>
      <c r="J149">
        <f>RTD("tos.rtd", , "VOLUME", A149)</f>
        <v>968891</v>
      </c>
      <c r="K149">
        <f>RTD("tos.rtd", , "OPEN", A149)</f>
        <v>113.64</v>
      </c>
      <c r="L149">
        <f>RTD("tos.rtd", , "HIGH",A149)</f>
        <v>114.08</v>
      </c>
      <c r="M149">
        <f>RTD("tos.rtd", , "LOW", A149)</f>
        <v>112.55</v>
      </c>
      <c r="N149">
        <f>RTD("tos.rtd", , "52HIGH", A149)</f>
        <v>116.21</v>
      </c>
      <c r="O149">
        <f>RTD("tos.rtd", , "52LOW", A149)</f>
        <v>90.91</v>
      </c>
      <c r="P149">
        <f>RTD("tos.rtd", , "Mark", A149)</f>
        <v>112.91</v>
      </c>
    </row>
    <row r="150" spans="1:16" x14ac:dyDescent="0.25">
      <c r="A150" t="s">
        <v>162</v>
      </c>
      <c r="B150">
        <f>RTD("tos.rtd", , "Last", A150)</f>
        <v>55.68</v>
      </c>
      <c r="C150" t="str">
        <f>RTD("tos.rtd", , "STRENGTH_METER", A150)</f>
        <v>N/A</v>
      </c>
      <c r="D150" t="str">
        <f>RTD("tos.rtd", , "QUOTE_TREND", A150)</f>
        <v>instrument=DTV</v>
      </c>
      <c r="E150">
        <f>RTD("tos.rtd", , "NET_CHANGE", A150)</f>
        <v>-0.12</v>
      </c>
      <c r="F150">
        <f>RTD("tos.rtd", , "BID", A150)</f>
        <v>54</v>
      </c>
      <c r="G150">
        <f>RTD("tos.rtd", , "ASK", A150)</f>
        <v>55.68</v>
      </c>
      <c r="H150">
        <f>RTD("tos.rtd", , "BID_SIZE", A150)</f>
        <v>1</v>
      </c>
      <c r="I150">
        <f>RTD("tos.rtd", , "ASK_SIZE", A150)</f>
        <v>0</v>
      </c>
      <c r="J150">
        <f>RTD("tos.rtd", , "VOLUME", A150)</f>
        <v>2855</v>
      </c>
      <c r="K150">
        <f>RTD("tos.rtd", , "OPEN", A150)</f>
        <v>55.8</v>
      </c>
      <c r="L150">
        <f>RTD("tos.rtd", , "HIGH",A150)</f>
        <v>55.8</v>
      </c>
      <c r="M150">
        <f>RTD("tos.rtd", , "LOW", A150)</f>
        <v>55.67</v>
      </c>
      <c r="N150" t="str">
        <f>RTD("tos.rtd", , "52HIGH", A150)</f>
        <v>N/A</v>
      </c>
      <c r="O150" t="str">
        <f>RTD("tos.rtd", , "52LOW", A150)</f>
        <v>N/A</v>
      </c>
      <c r="P150">
        <f>RTD("tos.rtd", , "Mark", A150)</f>
        <v>55.68</v>
      </c>
    </row>
    <row r="151" spans="1:16" x14ac:dyDescent="0.25">
      <c r="A151" t="s">
        <v>163</v>
      </c>
      <c r="B151">
        <f>RTD("tos.rtd", , "Last", A151)</f>
        <v>88.52</v>
      </c>
      <c r="C151" t="str">
        <f>RTD("tos.rtd", , "STRENGTH_METER", A151)</f>
        <v>Range Bound</v>
      </c>
      <c r="D151" t="str">
        <f>RTD("tos.rtd", , "QUOTE_TREND", A151)</f>
        <v>instrument=DUK</v>
      </c>
      <c r="E151">
        <f>RTD("tos.rtd", , "NET_CHANGE", A151)</f>
        <v>-0.69</v>
      </c>
      <c r="F151">
        <f>RTD("tos.rtd", , "BID", A151)</f>
        <v>88.38</v>
      </c>
      <c r="G151">
        <f>RTD("tos.rtd", , "ASK", A151)</f>
        <v>88.59</v>
      </c>
      <c r="H151">
        <f>RTD("tos.rtd", , "BID_SIZE", A151)</f>
        <v>1</v>
      </c>
      <c r="I151">
        <f>RTD("tos.rtd", , "ASK_SIZE", A151)</f>
        <v>1</v>
      </c>
      <c r="J151">
        <f>RTD("tos.rtd", , "VOLUME", A151)</f>
        <v>2650206</v>
      </c>
      <c r="K151">
        <f>RTD("tos.rtd", , "OPEN", A151)</f>
        <v>88.86</v>
      </c>
      <c r="L151">
        <f>RTD("tos.rtd", , "HIGH",A151)</f>
        <v>89.28</v>
      </c>
      <c r="M151">
        <f>RTD("tos.rtd", , "LOW", A151)</f>
        <v>88.448400000000007</v>
      </c>
      <c r="N151">
        <f>RTD("tos.rtd", , "52HIGH", A151)</f>
        <v>91.8</v>
      </c>
      <c r="O151">
        <f>RTD("tos.rtd", , "52LOW", A151)</f>
        <v>72.34</v>
      </c>
      <c r="P151">
        <f>RTD("tos.rtd", , "Mark", A151)</f>
        <v>88.52</v>
      </c>
    </row>
    <row r="152" spans="1:16" x14ac:dyDescent="0.25">
      <c r="A152" t="s">
        <v>164</v>
      </c>
      <c r="B152">
        <f>RTD("tos.rtd", , "Last", A152)</f>
        <v>54.91</v>
      </c>
      <c r="C152" t="str">
        <f>RTD("tos.rtd", , "STRENGTH_METER", A152)</f>
        <v>Downtrend</v>
      </c>
      <c r="D152" t="str">
        <f>RTD("tos.rtd", , "QUOTE_TREND", A152)</f>
        <v>instrument=DVA</v>
      </c>
      <c r="E152">
        <f>RTD("tos.rtd", , "NET_CHANGE", A152)</f>
        <v>-0.73</v>
      </c>
      <c r="F152">
        <f>RTD("tos.rtd", , "BID", A152)</f>
        <v>53.7</v>
      </c>
      <c r="G152">
        <f>RTD("tos.rtd", , "ASK", A152)</f>
        <v>55.5</v>
      </c>
      <c r="H152">
        <f>RTD("tos.rtd", , "BID_SIZE", A152)</f>
        <v>1</v>
      </c>
      <c r="I152">
        <f>RTD("tos.rtd", , "ASK_SIZE", A152)</f>
        <v>3</v>
      </c>
      <c r="J152">
        <f>RTD("tos.rtd", , "VOLUME", A152)</f>
        <v>1669741</v>
      </c>
      <c r="K152">
        <f>RTD("tos.rtd", , "OPEN", A152)</f>
        <v>55.31</v>
      </c>
      <c r="L152">
        <f>RTD("tos.rtd", , "HIGH",A152)</f>
        <v>55.63</v>
      </c>
      <c r="M152">
        <f>RTD("tos.rtd", , "LOW", A152)</f>
        <v>54.88</v>
      </c>
      <c r="N152">
        <f>RTD("tos.rtd", , "52HIGH", A152)</f>
        <v>70.16</v>
      </c>
      <c r="O152">
        <f>RTD("tos.rtd", , "52LOW", A152)</f>
        <v>52.51</v>
      </c>
      <c r="P152">
        <f>RTD("tos.rtd", , "Mark", A152)</f>
        <v>54.91</v>
      </c>
    </row>
    <row r="153" spans="1:16" x14ac:dyDescent="0.25">
      <c r="A153" t="s">
        <v>165</v>
      </c>
      <c r="B153">
        <f>RTD("tos.rtd", , "Last", A153)</f>
        <v>38.68</v>
      </c>
      <c r="C153" t="str">
        <f>RTD("tos.rtd", , "STRENGTH_METER", A153)</f>
        <v>Uptrend</v>
      </c>
      <c r="D153" t="str">
        <f>RTD("tos.rtd", , "QUOTE_TREND", A153)</f>
        <v>instrument=DVN</v>
      </c>
      <c r="E153">
        <f>RTD("tos.rtd", , "NET_CHANGE", A153)</f>
        <v>0.52</v>
      </c>
      <c r="F153">
        <f>RTD("tos.rtd", , "BID", A153)</f>
        <v>38.56</v>
      </c>
      <c r="G153">
        <f>RTD("tos.rtd", , "ASK", A153)</f>
        <v>38.65</v>
      </c>
      <c r="H153">
        <f>RTD("tos.rtd", , "BID_SIZE", A153)</f>
        <v>1</v>
      </c>
      <c r="I153">
        <f>RTD("tos.rtd", , "ASK_SIZE", A153)</f>
        <v>21</v>
      </c>
      <c r="J153">
        <f>RTD("tos.rtd", , "VOLUME", A153)</f>
        <v>3247778</v>
      </c>
      <c r="K153">
        <f>RTD("tos.rtd", , "OPEN", A153)</f>
        <v>38.42</v>
      </c>
      <c r="L153">
        <f>RTD("tos.rtd", , "HIGH",A153)</f>
        <v>38.96</v>
      </c>
      <c r="M153">
        <f>RTD("tos.rtd", , "LOW", A153)</f>
        <v>38.31</v>
      </c>
      <c r="N153">
        <f>RTD("tos.rtd", , "52HIGH", A153)</f>
        <v>50.69</v>
      </c>
      <c r="O153">
        <f>RTD("tos.rtd", , "52LOW", A153)</f>
        <v>28.794699999999999</v>
      </c>
      <c r="P153">
        <f>RTD("tos.rtd", , "Mark", A153)</f>
        <v>38.65</v>
      </c>
    </row>
    <row r="154" spans="1:16" x14ac:dyDescent="0.25">
      <c r="A154" t="s">
        <v>166</v>
      </c>
      <c r="B154">
        <f>RTD("tos.rtd", , "Last", A154)</f>
        <v>108.82</v>
      </c>
      <c r="C154" t="str">
        <f>RTD("tos.rtd", , "STRENGTH_METER", A154)</f>
        <v>Range Bound</v>
      </c>
      <c r="D154" t="str">
        <f>RTD("tos.rtd", , "QUOTE_TREND", A154)</f>
        <v>instrument=EA</v>
      </c>
      <c r="E154">
        <f>RTD("tos.rtd", , "NET_CHANGE", A154)</f>
        <v>-2.78</v>
      </c>
      <c r="F154">
        <f>RTD("tos.rtd", , "BID", A154)</f>
        <v>108.75</v>
      </c>
      <c r="G154">
        <f>RTD("tos.rtd", , "ASK", A154)</f>
        <v>109.2</v>
      </c>
      <c r="H154">
        <f>RTD("tos.rtd", , "BID_SIZE", A154)</f>
        <v>1</v>
      </c>
      <c r="I154">
        <f>RTD("tos.rtd", , "ASK_SIZE", A154)</f>
        <v>3</v>
      </c>
      <c r="J154">
        <f>RTD("tos.rtd", , "VOLUME", A154)</f>
        <v>8513884</v>
      </c>
      <c r="K154">
        <f>RTD("tos.rtd", , "OPEN", A154)</f>
        <v>108.99</v>
      </c>
      <c r="L154">
        <f>RTD("tos.rtd", , "HIGH",A154)</f>
        <v>109.55</v>
      </c>
      <c r="M154">
        <f>RTD("tos.rtd", , "LOW", A154)</f>
        <v>107.5</v>
      </c>
      <c r="N154">
        <f>RTD("tos.rtd", , "52HIGH", A154)</f>
        <v>122.79</v>
      </c>
      <c r="O154">
        <f>RTD("tos.rtd", , "52LOW", A154)</f>
        <v>73.739999999999995</v>
      </c>
      <c r="P154">
        <f>RTD("tos.rtd", , "Mark", A154)</f>
        <v>108.82</v>
      </c>
    </row>
    <row r="155" spans="1:16" x14ac:dyDescent="0.25">
      <c r="A155" t="s">
        <v>167</v>
      </c>
      <c r="B155">
        <f>RTD("tos.rtd", , "Last", A155)</f>
        <v>35.58</v>
      </c>
      <c r="C155" t="str">
        <f>RTD("tos.rtd", , "STRENGTH_METER", A155)</f>
        <v>Range Bound</v>
      </c>
      <c r="D155" t="str">
        <f>RTD("tos.rtd", , "QUOTE_TREND", A155)</f>
        <v>instrument=EBAY</v>
      </c>
      <c r="E155">
        <f>RTD("tos.rtd", , "NET_CHANGE", A155)</f>
        <v>-0.04</v>
      </c>
      <c r="F155">
        <f>RTD("tos.rtd", , "BID", A155)</f>
        <v>35.520000000000003</v>
      </c>
      <c r="G155">
        <f>RTD("tos.rtd", , "ASK", A155)</f>
        <v>35.61</v>
      </c>
      <c r="H155">
        <f>RTD("tos.rtd", , "BID_SIZE", A155)</f>
        <v>2</v>
      </c>
      <c r="I155">
        <f>RTD("tos.rtd", , "ASK_SIZE", A155)</f>
        <v>1</v>
      </c>
      <c r="J155">
        <f>RTD("tos.rtd", , "VOLUME", A155)</f>
        <v>7519420</v>
      </c>
      <c r="K155">
        <f>RTD("tos.rtd", , "OPEN", A155)</f>
        <v>35.64</v>
      </c>
      <c r="L155">
        <f>RTD("tos.rtd", , "HIGH",A155)</f>
        <v>35.71</v>
      </c>
      <c r="M155">
        <f>RTD("tos.rtd", , "LOW", A155)</f>
        <v>35.31</v>
      </c>
      <c r="N155">
        <f>RTD("tos.rtd", , "52HIGH", A155)</f>
        <v>39.274999999999999</v>
      </c>
      <c r="O155">
        <f>RTD("tos.rtd", , "52LOW", A155)</f>
        <v>27.28</v>
      </c>
      <c r="P155">
        <f>RTD("tos.rtd", , "Mark", A155)</f>
        <v>35.58</v>
      </c>
    </row>
    <row r="156" spans="1:16" x14ac:dyDescent="0.25">
      <c r="A156" t="s">
        <v>168</v>
      </c>
      <c r="B156">
        <f>RTD("tos.rtd", , "Last", A156)</f>
        <v>131.44999999999999</v>
      </c>
      <c r="C156" t="str">
        <f>RTD("tos.rtd", , "STRENGTH_METER", A156)</f>
        <v>Range Bound</v>
      </c>
      <c r="D156" t="str">
        <f>RTD("tos.rtd", , "QUOTE_TREND", A156)</f>
        <v>instrument=ECL</v>
      </c>
      <c r="E156">
        <f>RTD("tos.rtd", , "NET_CHANGE", A156)</f>
        <v>-0.54</v>
      </c>
      <c r="F156">
        <f>RTD("tos.rtd", , "BID", A156)</f>
        <v>129</v>
      </c>
      <c r="G156">
        <f>RTD("tos.rtd", , "ASK", A156)</f>
        <v>131.46</v>
      </c>
      <c r="H156">
        <f>RTD("tos.rtd", , "BID_SIZE", A156)</f>
        <v>1</v>
      </c>
      <c r="I156">
        <f>RTD("tos.rtd", , "ASK_SIZE", A156)</f>
        <v>0</v>
      </c>
      <c r="J156">
        <f>RTD("tos.rtd", , "VOLUME", A156)</f>
        <v>1421562</v>
      </c>
      <c r="K156">
        <f>RTD("tos.rtd", , "OPEN", A156)</f>
        <v>131.58000000000001</v>
      </c>
      <c r="L156">
        <f>RTD("tos.rtd", , "HIGH",A156)</f>
        <v>131.94999999999999</v>
      </c>
      <c r="M156">
        <f>RTD("tos.rtd", , "LOW", A156)</f>
        <v>130.83500000000001</v>
      </c>
      <c r="N156">
        <f>RTD("tos.rtd", , "52HIGH", A156)</f>
        <v>134.88999999999999</v>
      </c>
      <c r="O156">
        <f>RTD("tos.rtd", , "52LOW", A156)</f>
        <v>114.05</v>
      </c>
      <c r="P156">
        <f>RTD("tos.rtd", , "Mark", A156)</f>
        <v>131.44999999999999</v>
      </c>
    </row>
    <row r="157" spans="1:16" x14ac:dyDescent="0.25">
      <c r="A157" t="s">
        <v>169</v>
      </c>
      <c r="B157">
        <f>RTD("tos.rtd", , "Last", A157)</f>
        <v>86.53</v>
      </c>
      <c r="C157" t="str">
        <f>RTD("tos.rtd", , "STRENGTH_METER", A157)</f>
        <v>Range Bound</v>
      </c>
      <c r="D157" t="str">
        <f>RTD("tos.rtd", , "QUOTE_TREND", A157)</f>
        <v>instrument=ED</v>
      </c>
      <c r="E157">
        <f>RTD("tos.rtd", , "NET_CHANGE", A157)</f>
        <v>-0.83</v>
      </c>
      <c r="F157">
        <f>RTD("tos.rtd", , "BID", A157)</f>
        <v>86.02</v>
      </c>
      <c r="G157">
        <f>RTD("tos.rtd", , "ASK", A157)</f>
        <v>88</v>
      </c>
      <c r="H157">
        <f>RTD("tos.rtd", , "BID_SIZE", A157)</f>
        <v>2</v>
      </c>
      <c r="I157">
        <f>RTD("tos.rtd", , "ASK_SIZE", A157)</f>
        <v>1</v>
      </c>
      <c r="J157">
        <f>RTD("tos.rtd", , "VOLUME", A157)</f>
        <v>3067258</v>
      </c>
      <c r="K157">
        <f>RTD("tos.rtd", , "OPEN", A157)</f>
        <v>87.08</v>
      </c>
      <c r="L157">
        <f>RTD("tos.rtd", , "HIGH",A157)</f>
        <v>87.36</v>
      </c>
      <c r="M157">
        <f>RTD("tos.rtd", , "LOW", A157)</f>
        <v>86.22</v>
      </c>
      <c r="N157">
        <f>RTD("tos.rtd", , "52HIGH", A157)</f>
        <v>89.58</v>
      </c>
      <c r="O157">
        <f>RTD("tos.rtd", , "52LOW", A157)</f>
        <v>68.849999999999994</v>
      </c>
      <c r="P157">
        <f>RTD("tos.rtd", , "Mark", A157)</f>
        <v>86.53</v>
      </c>
    </row>
    <row r="158" spans="1:16" x14ac:dyDescent="0.25">
      <c r="A158" t="s">
        <v>170</v>
      </c>
      <c r="B158">
        <f>RTD("tos.rtd", , "Last", A158)</f>
        <v>111.37</v>
      </c>
      <c r="C158" t="str">
        <f>RTD("tos.rtd", , "STRENGTH_METER", A158)</f>
        <v>Range Bound</v>
      </c>
      <c r="D158" t="str">
        <f>RTD("tos.rtd", , "QUOTE_TREND", A158)</f>
        <v>instrument=EFX</v>
      </c>
      <c r="E158">
        <f>RTD("tos.rtd", , "NET_CHANGE", A158)</f>
        <v>1.79</v>
      </c>
      <c r="F158">
        <f>RTD("tos.rtd", , "BID", A158)</f>
        <v>110.43</v>
      </c>
      <c r="G158">
        <f>RTD("tos.rtd", , "ASK", A158)</f>
        <v>111.54</v>
      </c>
      <c r="H158">
        <f>RTD("tos.rtd", , "BID_SIZE", A158)</f>
        <v>2</v>
      </c>
      <c r="I158">
        <f>RTD("tos.rtd", , "ASK_SIZE", A158)</f>
        <v>2</v>
      </c>
      <c r="J158">
        <f>RTD("tos.rtd", , "VOLUME", A158)</f>
        <v>902198</v>
      </c>
      <c r="K158">
        <f>RTD("tos.rtd", , "OPEN", A158)</f>
        <v>109.11</v>
      </c>
      <c r="L158">
        <f>RTD("tos.rtd", , "HIGH",A158)</f>
        <v>111.61</v>
      </c>
      <c r="M158">
        <f>RTD("tos.rtd", , "LOW", A158)</f>
        <v>109.02</v>
      </c>
      <c r="N158">
        <f>RTD("tos.rtd", , "52HIGH", A158)</f>
        <v>147.02000000000001</v>
      </c>
      <c r="O158">
        <f>RTD("tos.rtd", , "52LOW", A158)</f>
        <v>89.59</v>
      </c>
      <c r="P158">
        <f>RTD("tos.rtd", , "Mark", A158)</f>
        <v>111.37</v>
      </c>
    </row>
    <row r="159" spans="1:16" x14ac:dyDescent="0.25">
      <c r="A159" t="s">
        <v>171</v>
      </c>
      <c r="B159">
        <f>RTD("tos.rtd", , "Last", A159)</f>
        <v>80.89</v>
      </c>
      <c r="C159" t="str">
        <f>RTD("tos.rtd", , "STRENGTH_METER", A159)</f>
        <v>Range Bound</v>
      </c>
      <c r="D159" t="str">
        <f>RTD("tos.rtd", , "QUOTE_TREND", A159)</f>
        <v>instrument=EIX</v>
      </c>
      <c r="E159">
        <f>RTD("tos.rtd", , "NET_CHANGE", A159)</f>
        <v>-0.86</v>
      </c>
      <c r="F159">
        <f>RTD("tos.rtd", , "BID", A159)</f>
        <v>80.760000000000005</v>
      </c>
      <c r="G159">
        <f>RTD("tos.rtd", , "ASK", A159)</f>
        <v>90</v>
      </c>
      <c r="H159">
        <f>RTD("tos.rtd", , "BID_SIZE", A159)</f>
        <v>0</v>
      </c>
      <c r="I159">
        <f>RTD("tos.rtd", , "ASK_SIZE", A159)</f>
        <v>1</v>
      </c>
      <c r="J159">
        <f>RTD("tos.rtd", , "VOLUME", A159)</f>
        <v>1436025</v>
      </c>
      <c r="K159">
        <f>RTD("tos.rtd", , "OPEN", A159)</f>
        <v>81.47</v>
      </c>
      <c r="L159">
        <f>RTD("tos.rtd", , "HIGH",A159)</f>
        <v>81.78</v>
      </c>
      <c r="M159">
        <f>RTD("tos.rtd", , "LOW", A159)</f>
        <v>80.760000000000005</v>
      </c>
      <c r="N159">
        <f>RTD("tos.rtd", , "52HIGH", A159)</f>
        <v>83.38</v>
      </c>
      <c r="O159">
        <f>RTD("tos.rtd", , "52LOW", A159)</f>
        <v>67.73</v>
      </c>
      <c r="P159">
        <f>RTD("tos.rtd", , "Mark", A159)</f>
        <v>80.89</v>
      </c>
    </row>
    <row r="160" spans="1:16" x14ac:dyDescent="0.25">
      <c r="A160" t="s">
        <v>172</v>
      </c>
      <c r="B160">
        <f>RTD("tos.rtd", , "Last", A160)</f>
        <v>124.69</v>
      </c>
      <c r="C160" t="str">
        <f>RTD("tos.rtd", , "STRENGTH_METER", A160)</f>
        <v>Uptrend</v>
      </c>
      <c r="D160" t="str">
        <f>RTD("tos.rtd", , "QUOTE_TREND", A160)</f>
        <v>instrument=EL</v>
      </c>
      <c r="E160">
        <f>RTD("tos.rtd", , "NET_CHANGE", A160)</f>
        <v>-0.95</v>
      </c>
      <c r="F160">
        <f>RTD("tos.rtd", , "BID", A160)</f>
        <v>122.25</v>
      </c>
      <c r="G160">
        <f>RTD("tos.rtd", , "ASK", A160)</f>
        <v>125.98</v>
      </c>
      <c r="H160">
        <f>RTD("tos.rtd", , "BID_SIZE", A160)</f>
        <v>6</v>
      </c>
      <c r="I160">
        <f>RTD("tos.rtd", , "ASK_SIZE", A160)</f>
        <v>2</v>
      </c>
      <c r="J160">
        <f>RTD("tos.rtd", , "VOLUME", A160)</f>
        <v>2209821</v>
      </c>
      <c r="K160">
        <f>RTD("tos.rtd", , "OPEN", A160)</f>
        <v>125.48</v>
      </c>
      <c r="L160">
        <f>RTD("tos.rtd", , "HIGH",A160)</f>
        <v>126.16</v>
      </c>
      <c r="M160">
        <f>RTD("tos.rtd", , "LOW", A160)</f>
        <v>124.69</v>
      </c>
      <c r="N160">
        <f>RTD("tos.rtd", , "52HIGH", A160)</f>
        <v>126.99</v>
      </c>
      <c r="O160">
        <f>RTD("tos.rtd", , "52LOW", A160)</f>
        <v>75.295000000000002</v>
      </c>
      <c r="P160">
        <f>RTD("tos.rtd", , "Mark", A160)</f>
        <v>124.69</v>
      </c>
    </row>
    <row r="161" spans="1:16" x14ac:dyDescent="0.25">
      <c r="A161" t="s">
        <v>173</v>
      </c>
      <c r="B161">
        <f>RTD("tos.rtd", , "Last", A161)</f>
        <v>0</v>
      </c>
      <c r="C161" t="str">
        <f>RTD("tos.rtd", , "STRENGTH_METER", A161)</f>
        <v>N/A</v>
      </c>
      <c r="D161" t="str">
        <f>RTD("tos.rtd", , "QUOTE_TREND", A161)</f>
        <v>instrument=EMC</v>
      </c>
      <c r="E161">
        <f>RTD("tos.rtd", , "NET_CHANGE", A161)</f>
        <v>0</v>
      </c>
      <c r="F161">
        <f>RTD("tos.rtd", , "BID", A161)</f>
        <v>29.03</v>
      </c>
      <c r="G161">
        <f>RTD("tos.rtd", , "ASK", A161)</f>
        <v>29.22</v>
      </c>
      <c r="H161">
        <f>RTD("tos.rtd", , "BID_SIZE", A161)</f>
        <v>0</v>
      </c>
      <c r="I161">
        <f>RTD("tos.rtd", , "ASK_SIZE", A161)</f>
        <v>0</v>
      </c>
      <c r="J161">
        <f>RTD("tos.rtd", , "VOLUME", A161)</f>
        <v>0</v>
      </c>
      <c r="K161">
        <f>RTD("tos.rtd", , "OPEN", A161)</f>
        <v>0</v>
      </c>
      <c r="L161">
        <f>RTD("tos.rtd", , "HIGH",A161)</f>
        <v>0</v>
      </c>
      <c r="M161">
        <f>RTD("tos.rtd", , "LOW", A161)</f>
        <v>0</v>
      </c>
      <c r="N161">
        <f>RTD("tos.rtd", , "52HIGH", A161)</f>
        <v>0</v>
      </c>
      <c r="O161">
        <f>RTD("tos.rtd", , "52LOW", A161)</f>
        <v>0</v>
      </c>
      <c r="P161">
        <f>RTD("tos.rtd", , "Mark", A161)</f>
        <v>29.03</v>
      </c>
    </row>
    <row r="162" spans="1:16" x14ac:dyDescent="0.25">
      <c r="A162" t="s">
        <v>174</v>
      </c>
      <c r="B162">
        <f>RTD("tos.rtd", , "Last", A162)</f>
        <v>89.74</v>
      </c>
      <c r="C162" t="str">
        <f>RTD("tos.rtd", , "STRENGTH_METER", A162)</f>
        <v>Range Bound</v>
      </c>
      <c r="D162" t="str">
        <f>RTD("tos.rtd", , "QUOTE_TREND", A162)</f>
        <v>instrument=EMN</v>
      </c>
      <c r="E162">
        <f>RTD("tos.rtd", , "NET_CHANGE", A162)</f>
        <v>-0.41</v>
      </c>
      <c r="F162">
        <f>RTD("tos.rtd", , "BID", A162)</f>
        <v>85</v>
      </c>
      <c r="G162">
        <f>RTD("tos.rtd", , "ASK", A162)</f>
        <v>91.02</v>
      </c>
      <c r="H162">
        <f>RTD("tos.rtd", , "BID_SIZE", A162)</f>
        <v>1</v>
      </c>
      <c r="I162">
        <f>RTD("tos.rtd", , "ASK_SIZE", A162)</f>
        <v>1</v>
      </c>
      <c r="J162">
        <f>RTD("tos.rtd", , "VOLUME", A162)</f>
        <v>1590904</v>
      </c>
      <c r="K162">
        <f>RTD("tos.rtd", , "OPEN", A162)</f>
        <v>89.7</v>
      </c>
      <c r="L162">
        <f>RTD("tos.rtd", , "HIGH",A162)</f>
        <v>90.24</v>
      </c>
      <c r="M162">
        <f>RTD("tos.rtd", , "LOW", A162)</f>
        <v>89.3</v>
      </c>
      <c r="N162">
        <f>RTD("tos.rtd", , "52HIGH", A162)</f>
        <v>94.96</v>
      </c>
      <c r="O162">
        <f>RTD("tos.rtd", , "52LOW", A162)</f>
        <v>73.515000000000001</v>
      </c>
      <c r="P162">
        <f>RTD("tos.rtd", , "Mark", A162)</f>
        <v>89.74</v>
      </c>
    </row>
    <row r="163" spans="1:16" x14ac:dyDescent="0.25">
      <c r="A163" t="s">
        <v>175</v>
      </c>
      <c r="B163">
        <f>RTD("tos.rtd", , "Last", A163)</f>
        <v>59.85</v>
      </c>
      <c r="C163" t="str">
        <f>RTD("tos.rtd", , "STRENGTH_METER", A163)</f>
        <v>Range Bound</v>
      </c>
      <c r="D163" t="str">
        <f>RTD("tos.rtd", , "QUOTE_TREND", A163)</f>
        <v>instrument=EMR</v>
      </c>
      <c r="E163">
        <f>RTD("tos.rtd", , "NET_CHANGE", A163)</f>
        <v>0.83</v>
      </c>
      <c r="F163">
        <f>RTD("tos.rtd", , "BID", A163)</f>
        <v>59.7</v>
      </c>
      <c r="G163">
        <f>RTD("tos.rtd", , "ASK", A163)</f>
        <v>59.9</v>
      </c>
      <c r="H163">
        <f>RTD("tos.rtd", , "BID_SIZE", A163)</f>
        <v>2</v>
      </c>
      <c r="I163">
        <f>RTD("tos.rtd", , "ASK_SIZE", A163)</f>
        <v>2</v>
      </c>
      <c r="J163">
        <f>RTD("tos.rtd", , "VOLUME", A163)</f>
        <v>5089673</v>
      </c>
      <c r="K163">
        <f>RTD("tos.rtd", , "OPEN", A163)</f>
        <v>58.86</v>
      </c>
      <c r="L163">
        <f>RTD("tos.rtd", , "HIGH",A163)</f>
        <v>60.24</v>
      </c>
      <c r="M163">
        <f>RTD("tos.rtd", , "LOW", A163)</f>
        <v>58.69</v>
      </c>
      <c r="N163">
        <f>RTD("tos.rtd", , "52HIGH", A163)</f>
        <v>67.784999999999997</v>
      </c>
      <c r="O163">
        <f>RTD("tos.rtd", , "52LOW", A163)</f>
        <v>53.92</v>
      </c>
      <c r="P163">
        <f>RTD("tos.rtd", , "Mark", A163)</f>
        <v>59.85</v>
      </c>
    </row>
    <row r="164" spans="1:16" x14ac:dyDescent="0.25">
      <c r="A164" t="s">
        <v>176</v>
      </c>
      <c r="B164">
        <f>RTD("tos.rtd", , "Last", A164)</f>
        <v>101.64</v>
      </c>
      <c r="C164" t="str">
        <f>RTD("tos.rtd", , "STRENGTH_METER", A164)</f>
        <v>Range Bound</v>
      </c>
      <c r="D164" t="str">
        <f>RTD("tos.rtd", , "QUOTE_TREND", A164)</f>
        <v>instrument=EOG</v>
      </c>
      <c r="E164">
        <f>RTD("tos.rtd", , "NET_CHANGE", A164)</f>
        <v>0.21</v>
      </c>
      <c r="F164">
        <f>RTD("tos.rtd", , "BID", A164)</f>
        <v>100.63</v>
      </c>
      <c r="G164">
        <f>RTD("tos.rtd", , "ASK", A164)</f>
        <v>104</v>
      </c>
      <c r="H164">
        <f>RTD("tos.rtd", , "BID_SIZE", A164)</f>
        <v>1</v>
      </c>
      <c r="I164">
        <f>RTD("tos.rtd", , "ASK_SIZE", A164)</f>
        <v>1</v>
      </c>
      <c r="J164">
        <f>RTD("tos.rtd", , "VOLUME", A164)</f>
        <v>2594277</v>
      </c>
      <c r="K164">
        <f>RTD("tos.rtd", , "OPEN", A164)</f>
        <v>101.76</v>
      </c>
      <c r="L164">
        <f>RTD("tos.rtd", , "HIGH",A164)</f>
        <v>102.21</v>
      </c>
      <c r="M164">
        <f>RTD("tos.rtd", , "LOW", A164)</f>
        <v>101.11</v>
      </c>
      <c r="N164">
        <f>RTD("tos.rtd", , "52HIGH", A164)</f>
        <v>109.37</v>
      </c>
      <c r="O164">
        <f>RTD("tos.rtd", , "52LOW", A164)</f>
        <v>81.99</v>
      </c>
      <c r="P164">
        <f>RTD("tos.rtd", , "Mark", A164)</f>
        <v>101.64</v>
      </c>
    </row>
    <row r="165" spans="1:16" x14ac:dyDescent="0.25">
      <c r="A165" t="s">
        <v>177</v>
      </c>
      <c r="B165">
        <f>RTD("tos.rtd", , "Last", A165)</f>
        <v>68.319999999999993</v>
      </c>
      <c r="C165" t="str">
        <f>RTD("tos.rtd", , "STRENGTH_METER", A165)</f>
        <v>Range Bound</v>
      </c>
      <c r="D165" t="str">
        <f>RTD("tos.rtd", , "QUOTE_TREND", A165)</f>
        <v>instrument=EQR</v>
      </c>
      <c r="E165">
        <f>RTD("tos.rtd", , "NET_CHANGE", A165)</f>
        <v>-0.9</v>
      </c>
      <c r="F165">
        <f>RTD("tos.rtd", , "BID", A165)</f>
        <v>43</v>
      </c>
      <c r="G165">
        <f>RTD("tos.rtd", , "ASK", A165)</f>
        <v>90</v>
      </c>
      <c r="H165">
        <f>RTD("tos.rtd", , "BID_SIZE", A165)</f>
        <v>1</v>
      </c>
      <c r="I165">
        <f>RTD("tos.rtd", , "ASK_SIZE", A165)</f>
        <v>1</v>
      </c>
      <c r="J165">
        <f>RTD("tos.rtd", , "VOLUME", A165)</f>
        <v>1628533</v>
      </c>
      <c r="K165">
        <f>RTD("tos.rtd", , "OPEN", A165)</f>
        <v>68.98</v>
      </c>
      <c r="L165">
        <f>RTD("tos.rtd", , "HIGH",A165)</f>
        <v>69.3</v>
      </c>
      <c r="M165">
        <f>RTD("tos.rtd", , "LOW", A165)</f>
        <v>68.17</v>
      </c>
      <c r="N165">
        <f>RTD("tos.rtd", , "52HIGH", A165)</f>
        <v>70.454999999999998</v>
      </c>
      <c r="O165">
        <f>RTD("tos.rtd", , "52LOW", A165)</f>
        <v>58.28</v>
      </c>
      <c r="P165">
        <f>RTD("tos.rtd", , "Mark", A165)</f>
        <v>68.319999999999993</v>
      </c>
    </row>
    <row r="166" spans="1:16" x14ac:dyDescent="0.25">
      <c r="A166" t="s">
        <v>178</v>
      </c>
      <c r="B166">
        <f>RTD("tos.rtd", , "Last", A166)</f>
        <v>59.03</v>
      </c>
      <c r="C166" t="str">
        <f>RTD("tos.rtd", , "STRENGTH_METER", A166)</f>
        <v>Range Bound</v>
      </c>
      <c r="D166" t="str">
        <f>RTD("tos.rtd", , "QUOTE_TREND", A166)</f>
        <v>instrument=EQT</v>
      </c>
      <c r="E166">
        <f>RTD("tos.rtd", , "NET_CHANGE", A166)</f>
        <v>-0.27</v>
      </c>
      <c r="F166">
        <f>RTD("tos.rtd", , "BID", A166)</f>
        <v>47.94</v>
      </c>
      <c r="G166">
        <f>RTD("tos.rtd", , "ASK", A166)</f>
        <v>61.02</v>
      </c>
      <c r="H166">
        <f>RTD("tos.rtd", , "BID_SIZE", A166)</f>
        <v>1</v>
      </c>
      <c r="I166">
        <f>RTD("tos.rtd", , "ASK_SIZE", A166)</f>
        <v>6</v>
      </c>
      <c r="J166">
        <f>RTD("tos.rtd", , "VOLUME", A166)</f>
        <v>2701100</v>
      </c>
      <c r="K166">
        <f>RTD("tos.rtd", , "OPEN", A166)</f>
        <v>59.35</v>
      </c>
      <c r="L166">
        <f>RTD("tos.rtd", , "HIGH",A166)</f>
        <v>59.7</v>
      </c>
      <c r="M166">
        <f>RTD("tos.rtd", , "LOW", A166)</f>
        <v>58.76</v>
      </c>
      <c r="N166">
        <f>RTD("tos.rtd", , "52HIGH", A166)</f>
        <v>75.739999999999995</v>
      </c>
      <c r="O166">
        <f>RTD("tos.rtd", , "52LOW", A166)</f>
        <v>49.63</v>
      </c>
      <c r="P166">
        <f>RTD("tos.rtd", , "Mark", A166)</f>
        <v>59.03</v>
      </c>
    </row>
    <row r="167" spans="1:16" x14ac:dyDescent="0.25">
      <c r="A167" t="s">
        <v>179</v>
      </c>
      <c r="B167">
        <f>RTD("tos.rtd", , "Last", A167)</f>
        <v>61.94</v>
      </c>
      <c r="C167" t="str">
        <f>RTD("tos.rtd", , "STRENGTH_METER", A167)</f>
        <v>Range Bound</v>
      </c>
      <c r="D167" t="str">
        <f>RTD("tos.rtd", , "QUOTE_TREND", A167)</f>
        <v>instrument=ESRX</v>
      </c>
      <c r="E167">
        <f>RTD("tos.rtd", , "NET_CHANGE", A167)</f>
        <v>-0.51</v>
      </c>
      <c r="F167">
        <f>RTD("tos.rtd", , "BID", A167)</f>
        <v>60.5</v>
      </c>
      <c r="G167">
        <f>RTD("tos.rtd", , "ASK", A167)</f>
        <v>63</v>
      </c>
      <c r="H167">
        <f>RTD("tos.rtd", , "BID_SIZE", A167)</f>
        <v>10</v>
      </c>
      <c r="I167">
        <f>RTD("tos.rtd", , "ASK_SIZE", A167)</f>
        <v>3</v>
      </c>
      <c r="J167">
        <f>RTD("tos.rtd", , "VOLUME", A167)</f>
        <v>3036628</v>
      </c>
      <c r="K167">
        <f>RTD("tos.rtd", , "OPEN", A167)</f>
        <v>62.13</v>
      </c>
      <c r="L167">
        <f>RTD("tos.rtd", , "HIGH",A167)</f>
        <v>62.22</v>
      </c>
      <c r="M167">
        <f>RTD("tos.rtd", , "LOW", A167)</f>
        <v>61.05</v>
      </c>
      <c r="N167">
        <f>RTD("tos.rtd", , "52HIGH", A167)</f>
        <v>77.5</v>
      </c>
      <c r="O167">
        <f>RTD("tos.rtd", , "52LOW", A167)</f>
        <v>55.8</v>
      </c>
      <c r="P167">
        <f>RTD("tos.rtd", , "Mark", A167)</f>
        <v>61.94</v>
      </c>
    </row>
    <row r="168" spans="1:16" x14ac:dyDescent="0.25">
      <c r="A168" t="s">
        <v>180</v>
      </c>
      <c r="B168">
        <f>RTD("tos.rtd", , "Last", A168)</f>
        <v>5.45</v>
      </c>
      <c r="C168" t="str">
        <f>RTD("tos.rtd", , "STRENGTH_METER", A168)</f>
        <v>Range Bound</v>
      </c>
      <c r="D168" t="str">
        <f>RTD("tos.rtd", , "QUOTE_TREND", A168)</f>
        <v>instrument=ESV</v>
      </c>
      <c r="E168">
        <f>RTD("tos.rtd", , "NET_CHANGE", A168)</f>
        <v>0.06</v>
      </c>
      <c r="F168">
        <f>RTD("tos.rtd", , "BID", A168)</f>
        <v>5.44</v>
      </c>
      <c r="G168">
        <f>RTD("tos.rtd", , "ASK", A168)</f>
        <v>5.5</v>
      </c>
      <c r="H168">
        <f>RTD("tos.rtd", , "BID_SIZE", A168)</f>
        <v>10</v>
      </c>
      <c r="I168">
        <f>RTD("tos.rtd", , "ASK_SIZE", A168)</f>
        <v>30</v>
      </c>
      <c r="J168">
        <f>RTD("tos.rtd", , "VOLUME", A168)</f>
        <v>8027100</v>
      </c>
      <c r="K168">
        <f>RTD("tos.rtd", , "OPEN", A168)</f>
        <v>5.42</v>
      </c>
      <c r="L168">
        <f>RTD("tos.rtd", , "HIGH",A168)</f>
        <v>5.5552000000000001</v>
      </c>
      <c r="M168">
        <f>RTD("tos.rtd", , "LOW", A168)</f>
        <v>5.37</v>
      </c>
      <c r="N168">
        <f>RTD("tos.rtd", , "52HIGH", A168)</f>
        <v>12.04</v>
      </c>
      <c r="O168">
        <f>RTD("tos.rtd", , "52LOW", A168)</f>
        <v>4.0999999999999996</v>
      </c>
      <c r="P168">
        <f>RTD("tos.rtd", , "Mark", A168)</f>
        <v>5.45</v>
      </c>
    </row>
    <row r="169" spans="1:16" x14ac:dyDescent="0.25">
      <c r="A169" t="s">
        <v>181</v>
      </c>
      <c r="B169">
        <f>RTD("tos.rtd", , "Last", A169)</f>
        <v>44.18</v>
      </c>
      <c r="C169" t="str">
        <f>RTD("tos.rtd", , "STRENGTH_METER", A169)</f>
        <v>Range Bound</v>
      </c>
      <c r="D169" t="str">
        <f>RTD("tos.rtd", , "QUOTE_TREND", A169)</f>
        <v>instrument=ETFC</v>
      </c>
      <c r="E169">
        <f>RTD("tos.rtd", , "NET_CHANGE", A169)</f>
        <v>0.16</v>
      </c>
      <c r="F169">
        <f>RTD("tos.rtd", , "BID", A169)</f>
        <v>42.67</v>
      </c>
      <c r="G169">
        <f>RTD("tos.rtd", , "ASK", A169)</f>
        <v>44.99</v>
      </c>
      <c r="H169">
        <f>RTD("tos.rtd", , "BID_SIZE", A169)</f>
        <v>1</v>
      </c>
      <c r="I169">
        <f>RTD("tos.rtd", , "ASK_SIZE", A169)</f>
        <v>3</v>
      </c>
      <c r="J169">
        <f>RTD("tos.rtd", , "VOLUME", A169)</f>
        <v>1440683</v>
      </c>
      <c r="K169">
        <f>RTD("tos.rtd", , "OPEN", A169)</f>
        <v>43.76</v>
      </c>
      <c r="L169">
        <f>RTD("tos.rtd", , "HIGH",A169)</f>
        <v>44.314999999999998</v>
      </c>
      <c r="M169">
        <f>RTD("tos.rtd", , "LOW", A169)</f>
        <v>43.75</v>
      </c>
      <c r="N169">
        <f>RTD("tos.rtd", , "52HIGH", A169)</f>
        <v>45.7</v>
      </c>
      <c r="O169">
        <f>RTD("tos.rtd", , "52LOW", A169)</f>
        <v>32.25</v>
      </c>
      <c r="P169">
        <f>RTD("tos.rtd", , "Mark", A169)</f>
        <v>44.18</v>
      </c>
    </row>
    <row r="170" spans="1:16" x14ac:dyDescent="0.25">
      <c r="A170" t="s">
        <v>182</v>
      </c>
      <c r="B170">
        <f>RTD("tos.rtd", , "Last", A170)</f>
        <v>75.64</v>
      </c>
      <c r="C170" t="str">
        <f>RTD("tos.rtd", , "STRENGTH_METER", A170)</f>
        <v>Range Bound</v>
      </c>
      <c r="D170" t="str">
        <f>RTD("tos.rtd", , "QUOTE_TREND", A170)</f>
        <v>instrument=ETN</v>
      </c>
      <c r="E170">
        <f>RTD("tos.rtd", , "NET_CHANGE", A170)</f>
        <v>-0.8</v>
      </c>
      <c r="F170">
        <f>RTD("tos.rtd", , "BID", A170)</f>
        <v>72.61</v>
      </c>
      <c r="G170">
        <f>RTD("tos.rtd", , "ASK", A170)</f>
        <v>76.72</v>
      </c>
      <c r="H170">
        <f>RTD("tos.rtd", , "BID_SIZE", A170)</f>
        <v>1</v>
      </c>
      <c r="I170">
        <f>RTD("tos.rtd", , "ASK_SIZE", A170)</f>
        <v>4</v>
      </c>
      <c r="J170">
        <f>RTD("tos.rtd", , "VOLUME", A170)</f>
        <v>2900421</v>
      </c>
      <c r="K170">
        <f>RTD("tos.rtd", , "OPEN", A170)</f>
        <v>75.989999999999995</v>
      </c>
      <c r="L170">
        <f>RTD("tos.rtd", , "HIGH",A170)</f>
        <v>76</v>
      </c>
      <c r="M170">
        <f>RTD("tos.rtd", , "LOW", A170)</f>
        <v>75.42</v>
      </c>
      <c r="N170">
        <f>RTD("tos.rtd", , "52HIGH", A170)</f>
        <v>82.34</v>
      </c>
      <c r="O170">
        <f>RTD("tos.rtd", , "52LOW", A170)</f>
        <v>63.94</v>
      </c>
      <c r="P170">
        <f>RTD("tos.rtd", , "Mark", A170)</f>
        <v>75.64</v>
      </c>
    </row>
    <row r="171" spans="1:16" x14ac:dyDescent="0.25">
      <c r="A171" t="s">
        <v>183</v>
      </c>
      <c r="B171">
        <f>RTD("tos.rtd", , "Last", A171)</f>
        <v>86.51</v>
      </c>
      <c r="C171" t="str">
        <f>RTD("tos.rtd", , "STRENGTH_METER", A171)</f>
        <v>Range Bound</v>
      </c>
      <c r="D171" t="str">
        <f>RTD("tos.rtd", , "QUOTE_TREND", A171)</f>
        <v>instrument=ETR</v>
      </c>
      <c r="E171">
        <f>RTD("tos.rtd", , "NET_CHANGE", A171)</f>
        <v>0.61</v>
      </c>
      <c r="F171">
        <f>RTD("tos.rtd", , "BID", A171)</f>
        <v>79.11</v>
      </c>
      <c r="G171">
        <f>RTD("tos.rtd", , "ASK", A171)</f>
        <v>87.92</v>
      </c>
      <c r="H171">
        <f>RTD("tos.rtd", , "BID_SIZE", A171)</f>
        <v>2</v>
      </c>
      <c r="I171">
        <f>RTD("tos.rtd", , "ASK_SIZE", A171)</f>
        <v>1</v>
      </c>
      <c r="J171">
        <f>RTD("tos.rtd", , "VOLUME", A171)</f>
        <v>1215832</v>
      </c>
      <c r="K171">
        <f>RTD("tos.rtd", , "OPEN", A171)</f>
        <v>85.66</v>
      </c>
      <c r="L171">
        <f>RTD("tos.rtd", , "HIGH",A171)</f>
        <v>87.22</v>
      </c>
      <c r="M171">
        <f>RTD("tos.rtd", , "LOW", A171)</f>
        <v>85.66</v>
      </c>
      <c r="N171">
        <f>RTD("tos.rtd", , "52HIGH", A171)</f>
        <v>87.95</v>
      </c>
      <c r="O171">
        <f>RTD("tos.rtd", , "52LOW", A171)</f>
        <v>67.394999999999996</v>
      </c>
      <c r="P171">
        <f>RTD("tos.rtd", , "Mark", A171)</f>
        <v>86.51</v>
      </c>
    </row>
    <row r="172" spans="1:16" x14ac:dyDescent="0.25">
      <c r="A172" t="s">
        <v>184</v>
      </c>
      <c r="B172">
        <f>RTD("tos.rtd", , "Last", A172)</f>
        <v>107.09</v>
      </c>
      <c r="C172" t="str">
        <f>RTD("tos.rtd", , "STRENGTH_METER", A172)</f>
        <v>Range Bound</v>
      </c>
      <c r="D172" t="str">
        <f>RTD("tos.rtd", , "QUOTE_TREND", A172)</f>
        <v>instrument=EW</v>
      </c>
      <c r="E172">
        <f>RTD("tos.rtd", , "NET_CHANGE", A172)</f>
        <v>-0.01</v>
      </c>
      <c r="F172">
        <f>RTD("tos.rtd", , "BID", A172)</f>
        <v>103.98</v>
      </c>
      <c r="G172">
        <f>RTD("tos.rtd", , "ASK", A172)</f>
        <v>109.9</v>
      </c>
      <c r="H172">
        <f>RTD("tos.rtd", , "BID_SIZE", A172)</f>
        <v>2</v>
      </c>
      <c r="I172">
        <f>RTD("tos.rtd", , "ASK_SIZE", A172)</f>
        <v>1</v>
      </c>
      <c r="J172">
        <f>RTD("tos.rtd", , "VOLUME", A172)</f>
        <v>1071667</v>
      </c>
      <c r="K172">
        <f>RTD("tos.rtd", , "OPEN", A172)</f>
        <v>106.6</v>
      </c>
      <c r="L172">
        <f>RTD("tos.rtd", , "HIGH",A172)</f>
        <v>107.76</v>
      </c>
      <c r="M172">
        <f>RTD("tos.rtd", , "LOW", A172)</f>
        <v>106.07</v>
      </c>
      <c r="N172">
        <f>RTD("tos.rtd", , "52HIGH", A172)</f>
        <v>121.45</v>
      </c>
      <c r="O172">
        <f>RTD("tos.rtd", , "52LOW", A172)</f>
        <v>81.12</v>
      </c>
      <c r="P172">
        <f>RTD("tos.rtd", , "Mark", A172)</f>
        <v>107.09</v>
      </c>
    </row>
    <row r="173" spans="1:16" x14ac:dyDescent="0.25">
      <c r="A173" t="s">
        <v>185</v>
      </c>
      <c r="B173">
        <f>RTD("tos.rtd", , "Last", A173)</f>
        <v>41.26</v>
      </c>
      <c r="C173" t="str">
        <f>RTD("tos.rtd", , "STRENGTH_METER", A173)</f>
        <v>Range Bound</v>
      </c>
      <c r="D173" t="str">
        <f>RTD("tos.rtd", , "QUOTE_TREND", A173)</f>
        <v>instrument=EXC</v>
      </c>
      <c r="E173">
        <f>RTD("tos.rtd", , "NET_CHANGE", A173)</f>
        <v>0.02</v>
      </c>
      <c r="F173">
        <f>RTD("tos.rtd", , "BID", A173)</f>
        <v>41.16</v>
      </c>
      <c r="G173">
        <f>RTD("tos.rtd", , "ASK", A173)</f>
        <v>41.28</v>
      </c>
      <c r="H173">
        <f>RTD("tos.rtd", , "BID_SIZE", A173)</f>
        <v>1</v>
      </c>
      <c r="I173">
        <f>RTD("tos.rtd", , "ASK_SIZE", A173)</f>
        <v>1</v>
      </c>
      <c r="J173">
        <f>RTD("tos.rtd", , "VOLUME", A173)</f>
        <v>4720291</v>
      </c>
      <c r="K173">
        <f>RTD("tos.rtd", , "OPEN", A173)</f>
        <v>41.19</v>
      </c>
      <c r="L173">
        <f>RTD("tos.rtd", , "HIGH",A173)</f>
        <v>41.36</v>
      </c>
      <c r="M173">
        <f>RTD("tos.rtd", , "LOW", A173)</f>
        <v>41.06</v>
      </c>
      <c r="N173">
        <f>RTD("tos.rtd", , "52HIGH", A173)</f>
        <v>42.67</v>
      </c>
      <c r="O173">
        <f>RTD("tos.rtd", , "52LOW", A173)</f>
        <v>31.164999999999999</v>
      </c>
      <c r="P173">
        <f>RTD("tos.rtd", , "Mark", A173)</f>
        <v>41.26</v>
      </c>
    </row>
    <row r="174" spans="1:16" x14ac:dyDescent="0.25">
      <c r="A174" t="s">
        <v>186</v>
      </c>
      <c r="B174">
        <f>RTD("tos.rtd", , "Last", A174)</f>
        <v>59.13</v>
      </c>
      <c r="C174" t="str">
        <f>RTD("tos.rtd", , "STRENGTH_METER", A174)</f>
        <v>Range Bound</v>
      </c>
      <c r="D174" t="str">
        <f>RTD("tos.rtd", , "QUOTE_TREND", A174)</f>
        <v>instrument=EXPD</v>
      </c>
      <c r="E174">
        <f>RTD("tos.rtd", , "NET_CHANGE", A174)</f>
        <v>-0.65</v>
      </c>
      <c r="F174">
        <f>RTD("tos.rtd", , "BID", A174)</f>
        <v>57.5</v>
      </c>
      <c r="G174">
        <f>RTD("tos.rtd", , "ASK", A174)</f>
        <v>59.19</v>
      </c>
      <c r="H174">
        <f>RTD("tos.rtd", , "BID_SIZE", A174)</f>
        <v>1</v>
      </c>
      <c r="I174">
        <f>RTD("tos.rtd", , "ASK_SIZE", A174)</f>
        <v>2</v>
      </c>
      <c r="J174">
        <f>RTD("tos.rtd", , "VOLUME", A174)</f>
        <v>1046267</v>
      </c>
      <c r="K174">
        <f>RTD("tos.rtd", , "OPEN", A174)</f>
        <v>59.61</v>
      </c>
      <c r="L174">
        <f>RTD("tos.rtd", , "HIGH",A174)</f>
        <v>59.83</v>
      </c>
      <c r="M174">
        <f>RTD("tos.rtd", , "LOW", A174)</f>
        <v>58.820799999999998</v>
      </c>
      <c r="N174">
        <f>RTD("tos.rtd", , "52HIGH", A174)</f>
        <v>62.63</v>
      </c>
      <c r="O174">
        <f>RTD("tos.rtd", , "52LOW", A174)</f>
        <v>50.476700000000001</v>
      </c>
      <c r="P174">
        <f>RTD("tos.rtd", , "Mark", A174)</f>
        <v>59.13</v>
      </c>
    </row>
    <row r="175" spans="1:16" x14ac:dyDescent="0.25">
      <c r="A175" t="s">
        <v>187</v>
      </c>
      <c r="B175">
        <f>RTD("tos.rtd", , "Last", A175)</f>
        <v>123.95</v>
      </c>
      <c r="C175" t="str">
        <f>RTD("tos.rtd", , "STRENGTH_METER", A175)</f>
        <v>Downtrend</v>
      </c>
      <c r="D175" t="str">
        <f>RTD("tos.rtd", , "QUOTE_TREND", A175)</f>
        <v>instrument=EXPE</v>
      </c>
      <c r="E175">
        <f>RTD("tos.rtd", , "NET_CHANGE", A175)</f>
        <v>1.91</v>
      </c>
      <c r="F175">
        <f>RTD("tos.rtd", , "BID", A175)</f>
        <v>122</v>
      </c>
      <c r="G175">
        <f>RTD("tos.rtd", , "ASK", A175)</f>
        <v>123.96</v>
      </c>
      <c r="H175">
        <f>RTD("tos.rtd", , "BID_SIZE", A175)</f>
        <v>2</v>
      </c>
      <c r="I175">
        <f>RTD("tos.rtd", , "ASK_SIZE", A175)</f>
        <v>1</v>
      </c>
      <c r="J175">
        <f>RTD("tos.rtd", , "VOLUME", A175)</f>
        <v>2490422</v>
      </c>
      <c r="K175">
        <f>RTD("tos.rtd", , "OPEN", A175)</f>
        <v>121.84</v>
      </c>
      <c r="L175">
        <f>RTD("tos.rtd", , "HIGH",A175)</f>
        <v>124.2</v>
      </c>
      <c r="M175">
        <f>RTD("tos.rtd", , "LOW", A175)</f>
        <v>121.755</v>
      </c>
      <c r="N175">
        <f>RTD("tos.rtd", , "52HIGH", A175)</f>
        <v>161</v>
      </c>
      <c r="O175">
        <f>RTD("tos.rtd", , "52LOW", A175)</f>
        <v>111.875</v>
      </c>
      <c r="P175">
        <f>RTD("tos.rtd", , "Mark", A175)</f>
        <v>123.95</v>
      </c>
    </row>
    <row r="176" spans="1:16" x14ac:dyDescent="0.25">
      <c r="A176" t="s">
        <v>188</v>
      </c>
      <c r="B176">
        <f>RTD("tos.rtd", , "Last", A176)</f>
        <v>12.01</v>
      </c>
      <c r="C176" t="str">
        <f>RTD("tos.rtd", , "STRENGTH_METER", A176)</f>
        <v>Range Bound</v>
      </c>
      <c r="D176" t="str">
        <f>RTD("tos.rtd", , "QUOTE_TREND", A176)</f>
        <v>instrument=F</v>
      </c>
      <c r="E176">
        <f>RTD("tos.rtd", , "NET_CHANGE", A176)</f>
        <v>-0.03</v>
      </c>
      <c r="F176">
        <f>RTD("tos.rtd", , "BID", A176)</f>
        <v>12</v>
      </c>
      <c r="G176">
        <f>RTD("tos.rtd", , "ASK", A176)</f>
        <v>12.01</v>
      </c>
      <c r="H176">
        <f>RTD("tos.rtd", , "BID_SIZE", A176)</f>
        <v>2</v>
      </c>
      <c r="I176">
        <f>RTD("tos.rtd", , "ASK_SIZE", A176)</f>
        <v>779</v>
      </c>
      <c r="J176">
        <f>RTD("tos.rtd", , "VOLUME", A176)</f>
        <v>31007891</v>
      </c>
      <c r="K176">
        <f>RTD("tos.rtd", , "OPEN", A176)</f>
        <v>12.02</v>
      </c>
      <c r="L176">
        <f>RTD("tos.rtd", , "HIGH",A176)</f>
        <v>12.06</v>
      </c>
      <c r="M176">
        <f>RTD("tos.rtd", , "LOW", A176)</f>
        <v>11.984999999999999</v>
      </c>
      <c r="N176">
        <f>RTD("tos.rtd", , "52HIGH", A176)</f>
        <v>13.27</v>
      </c>
      <c r="O176">
        <f>RTD("tos.rtd", , "52LOW", A176)</f>
        <v>10.47</v>
      </c>
      <c r="P176">
        <f>RTD("tos.rtd", , "Mark", A176)</f>
        <v>12.01</v>
      </c>
    </row>
    <row r="177" spans="1:16" x14ac:dyDescent="0.25">
      <c r="A177" t="s">
        <v>189</v>
      </c>
      <c r="B177">
        <f>RTD("tos.rtd", , "Last", A177)</f>
        <v>48.47</v>
      </c>
      <c r="C177" t="str">
        <f>RTD("tos.rtd", , "STRENGTH_METER", A177)</f>
        <v>Range Bound</v>
      </c>
      <c r="D177" t="str">
        <f>RTD("tos.rtd", , "QUOTE_TREND", A177)</f>
        <v>instrument=FAST</v>
      </c>
      <c r="E177">
        <f>RTD("tos.rtd", , "NET_CHANGE", A177)</f>
        <v>0</v>
      </c>
      <c r="F177">
        <f>RTD("tos.rtd", , "BID", A177)</f>
        <v>48.5</v>
      </c>
      <c r="G177">
        <f>RTD("tos.rtd", , "ASK", A177)</f>
        <v>48.68</v>
      </c>
      <c r="H177">
        <f>RTD("tos.rtd", , "BID_SIZE", A177)</f>
        <v>10</v>
      </c>
      <c r="I177">
        <f>RTD("tos.rtd", , "ASK_SIZE", A177)</f>
        <v>60</v>
      </c>
      <c r="J177">
        <f>RTD("tos.rtd", , "VOLUME", A177)</f>
        <v>1439367</v>
      </c>
      <c r="K177">
        <f>RTD("tos.rtd", , "OPEN", A177)</f>
        <v>48.45</v>
      </c>
      <c r="L177">
        <f>RTD("tos.rtd", , "HIGH",A177)</f>
        <v>48.77</v>
      </c>
      <c r="M177">
        <f>RTD("tos.rtd", , "LOW", A177)</f>
        <v>47.86</v>
      </c>
      <c r="N177">
        <f>RTD("tos.rtd", , "52HIGH", A177)</f>
        <v>52.74</v>
      </c>
      <c r="O177">
        <f>RTD("tos.rtd", , "52LOW", A177)</f>
        <v>39.79</v>
      </c>
      <c r="P177">
        <f>RTD("tos.rtd", , "Mark", A177)</f>
        <v>48.5</v>
      </c>
    </row>
    <row r="178" spans="1:16" x14ac:dyDescent="0.25">
      <c r="A178" t="s">
        <v>190</v>
      </c>
      <c r="B178">
        <f>RTD("tos.rtd", , "Last", A178)</f>
        <v>13.86</v>
      </c>
      <c r="C178" t="str">
        <f>RTD("tos.rtd", , "STRENGTH_METER", A178)</f>
        <v>Range Bound</v>
      </c>
      <c r="D178" t="str">
        <f>RTD("tos.rtd", , "QUOTE_TREND", A178)</f>
        <v>instrument=FCX</v>
      </c>
      <c r="E178">
        <f>RTD("tos.rtd", , "NET_CHANGE", A178)</f>
        <v>0.24</v>
      </c>
      <c r="F178">
        <f>RTD("tos.rtd", , "BID", A178)</f>
        <v>13.79</v>
      </c>
      <c r="G178">
        <f>RTD("tos.rtd", , "ASK", A178)</f>
        <v>13.86</v>
      </c>
      <c r="H178">
        <f>RTD("tos.rtd", , "BID_SIZE", A178)</f>
        <v>7</v>
      </c>
      <c r="I178">
        <f>RTD("tos.rtd", , "ASK_SIZE", A178)</f>
        <v>112</v>
      </c>
      <c r="J178">
        <f>RTD("tos.rtd", , "VOLUME", A178)</f>
        <v>15324214</v>
      </c>
      <c r="K178">
        <f>RTD("tos.rtd", , "OPEN", A178)</f>
        <v>13.51</v>
      </c>
      <c r="L178">
        <f>RTD("tos.rtd", , "HIGH",A178)</f>
        <v>13.93</v>
      </c>
      <c r="M178">
        <f>RTD("tos.rtd", , "LOW", A178)</f>
        <v>13.5</v>
      </c>
      <c r="N178">
        <f>RTD("tos.rtd", , "52HIGH", A178)</f>
        <v>17.059999999999999</v>
      </c>
      <c r="O178">
        <f>RTD("tos.rtd", , "52LOW", A178)</f>
        <v>11.05</v>
      </c>
      <c r="P178">
        <f>RTD("tos.rtd", , "Mark", A178)</f>
        <v>13.86</v>
      </c>
    </row>
    <row r="179" spans="1:16" x14ac:dyDescent="0.25">
      <c r="A179" t="s">
        <v>191</v>
      </c>
      <c r="B179">
        <f>RTD("tos.rtd", , "Last", A179)</f>
        <v>0</v>
      </c>
      <c r="C179" t="str">
        <f>RTD("tos.rtd", , "STRENGTH_METER", A179)</f>
        <v>N/A</v>
      </c>
      <c r="D179" t="str">
        <f>RTD("tos.rtd", , "QUOTE_TREND", A179)</f>
        <v>instrument=FDO</v>
      </c>
      <c r="E179">
        <f>RTD("tos.rtd", , "NET_CHANGE", A179)</f>
        <v>0</v>
      </c>
      <c r="F179">
        <f>RTD("tos.rtd", , "BID", A179)</f>
        <v>79.58</v>
      </c>
      <c r="G179">
        <f>RTD("tos.rtd", , "ASK", A179)</f>
        <v>82.5</v>
      </c>
      <c r="H179">
        <f>RTD("tos.rtd", , "BID_SIZE", A179)</f>
        <v>0</v>
      </c>
      <c r="I179">
        <f>RTD("tos.rtd", , "ASK_SIZE", A179)</f>
        <v>0</v>
      </c>
      <c r="J179">
        <f>RTD("tos.rtd", , "VOLUME", A179)</f>
        <v>0</v>
      </c>
      <c r="K179">
        <f>RTD("tos.rtd", , "OPEN", A179)</f>
        <v>0</v>
      </c>
      <c r="L179">
        <f>RTD("tos.rtd", , "HIGH",A179)</f>
        <v>0</v>
      </c>
      <c r="M179">
        <f>RTD("tos.rtd", , "LOW", A179)</f>
        <v>0</v>
      </c>
      <c r="N179">
        <f>RTD("tos.rtd", , "52HIGH", A179)</f>
        <v>0</v>
      </c>
      <c r="O179">
        <f>RTD("tos.rtd", , "52LOW", A179)</f>
        <v>0</v>
      </c>
      <c r="P179">
        <f>RTD("tos.rtd", , "Mark", A179)</f>
        <v>79.58</v>
      </c>
    </row>
    <row r="180" spans="1:16" x14ac:dyDescent="0.25">
      <c r="A180" t="s">
        <v>192</v>
      </c>
      <c r="B180">
        <f>RTD("tos.rtd", , "Last", A180)</f>
        <v>216</v>
      </c>
      <c r="C180" t="str">
        <f>RTD("tos.rtd", , "STRENGTH_METER", A180)</f>
        <v>Range Bound</v>
      </c>
      <c r="D180" t="str">
        <f>RTD("tos.rtd", , "QUOTE_TREND", A180)</f>
        <v>instrument=FDX</v>
      </c>
      <c r="E180">
        <f>RTD("tos.rtd", , "NET_CHANGE", A180)</f>
        <v>-1.91</v>
      </c>
      <c r="F180">
        <f>RTD("tos.rtd", , "BID", A180)</f>
        <v>215</v>
      </c>
      <c r="G180">
        <f>RTD("tos.rtd", , "ASK", A180)</f>
        <v>219.52</v>
      </c>
      <c r="H180">
        <f>RTD("tos.rtd", , "BID_SIZE", A180)</f>
        <v>1</v>
      </c>
      <c r="I180">
        <f>RTD("tos.rtd", , "ASK_SIZE", A180)</f>
        <v>1</v>
      </c>
      <c r="J180">
        <f>RTD("tos.rtd", , "VOLUME", A180)</f>
        <v>1432812</v>
      </c>
      <c r="K180">
        <f>RTD("tos.rtd", , "OPEN", A180)</f>
        <v>217.06</v>
      </c>
      <c r="L180">
        <f>RTD("tos.rtd", , "HIGH",A180)</f>
        <v>218.28</v>
      </c>
      <c r="M180">
        <f>RTD("tos.rtd", , "LOW", A180)</f>
        <v>215.86</v>
      </c>
      <c r="N180">
        <f>RTD("tos.rtd", , "52HIGH", A180)</f>
        <v>231.35</v>
      </c>
      <c r="O180">
        <f>RTD("tos.rtd", , "52LOW", A180)</f>
        <v>182.75</v>
      </c>
      <c r="P180">
        <f>RTD("tos.rtd", , "Mark", A180)</f>
        <v>216</v>
      </c>
    </row>
    <row r="181" spans="1:16" x14ac:dyDescent="0.25">
      <c r="A181" t="s">
        <v>193</v>
      </c>
      <c r="B181">
        <f>RTD("tos.rtd", , "Last", A181)</f>
        <v>34.65</v>
      </c>
      <c r="C181" t="str">
        <f>RTD("tos.rtd", , "STRENGTH_METER", A181)</f>
        <v>Range Bound</v>
      </c>
      <c r="D181" t="str">
        <f>RTD("tos.rtd", , "QUOTE_TREND", A181)</f>
        <v>instrument=FE</v>
      </c>
      <c r="E181">
        <f>RTD("tos.rtd", , "NET_CHANGE", A181)</f>
        <v>0.01</v>
      </c>
      <c r="F181">
        <f>RTD("tos.rtd", , "BID", A181)</f>
        <v>34.56</v>
      </c>
      <c r="G181">
        <f>RTD("tos.rtd", , "ASK", A181)</f>
        <v>34.659999999999997</v>
      </c>
      <c r="H181">
        <f>RTD("tos.rtd", , "BID_SIZE", A181)</f>
        <v>8</v>
      </c>
      <c r="I181">
        <f>RTD("tos.rtd", , "ASK_SIZE", A181)</f>
        <v>10</v>
      </c>
      <c r="J181">
        <f>RTD("tos.rtd", , "VOLUME", A181)</f>
        <v>3509394</v>
      </c>
      <c r="K181">
        <f>RTD("tos.rtd", , "OPEN", A181)</f>
        <v>34.57</v>
      </c>
      <c r="L181">
        <f>RTD("tos.rtd", , "HIGH",A181)</f>
        <v>35.020000000000003</v>
      </c>
      <c r="M181">
        <f>RTD("tos.rtd", , "LOW", A181)</f>
        <v>34.5</v>
      </c>
      <c r="N181">
        <f>RTD("tos.rtd", , "52HIGH", A181)</f>
        <v>35.22</v>
      </c>
      <c r="O181">
        <f>RTD("tos.rtd", , "52LOW", A181)</f>
        <v>27.93</v>
      </c>
      <c r="P181">
        <f>RTD("tos.rtd", , "Mark", A181)</f>
        <v>34.65</v>
      </c>
    </row>
    <row r="182" spans="1:16" x14ac:dyDescent="0.25">
      <c r="A182" t="s">
        <v>194</v>
      </c>
      <c r="B182">
        <f>RTD("tos.rtd", , "Last", A182)</f>
        <v>123.58</v>
      </c>
      <c r="C182" t="str">
        <f>RTD("tos.rtd", , "STRENGTH_METER", A182)</f>
        <v>Range Bound</v>
      </c>
      <c r="D182" t="str">
        <f>RTD("tos.rtd", , "QUOTE_TREND", A182)</f>
        <v>instrument=FFIV</v>
      </c>
      <c r="E182">
        <f>RTD("tos.rtd", , "NET_CHANGE", A182)</f>
        <v>1.52</v>
      </c>
      <c r="F182">
        <f>RTD("tos.rtd", , "BID", A182)</f>
        <v>121.85</v>
      </c>
      <c r="G182">
        <f>RTD("tos.rtd", , "ASK", A182)</f>
        <v>124</v>
      </c>
      <c r="H182">
        <f>RTD("tos.rtd", , "BID_SIZE", A182)</f>
        <v>1</v>
      </c>
      <c r="I182">
        <f>RTD("tos.rtd", , "ASK_SIZE", A182)</f>
        <v>2</v>
      </c>
      <c r="J182">
        <f>RTD("tos.rtd", , "VOLUME", A182)</f>
        <v>573675</v>
      </c>
      <c r="K182">
        <f>RTD("tos.rtd", , "OPEN", A182)</f>
        <v>121.81</v>
      </c>
      <c r="L182">
        <f>RTD("tos.rtd", , "HIGH",A182)</f>
        <v>123.74</v>
      </c>
      <c r="M182">
        <f>RTD("tos.rtd", , "LOW", A182)</f>
        <v>121.19</v>
      </c>
      <c r="N182">
        <f>RTD("tos.rtd", , "52HIGH", A182)</f>
        <v>149.5</v>
      </c>
      <c r="O182">
        <f>RTD("tos.rtd", , "52LOW", A182)</f>
        <v>114.63</v>
      </c>
      <c r="P182">
        <f>RTD("tos.rtd", , "Mark", A182)</f>
        <v>123.58</v>
      </c>
    </row>
    <row r="183" spans="1:16" x14ac:dyDescent="0.25">
      <c r="A183" t="s">
        <v>195</v>
      </c>
      <c r="B183">
        <f>RTD("tos.rtd", , "Last", A183)</f>
        <v>18.399999999999999</v>
      </c>
      <c r="C183" t="str">
        <f>RTD("tos.rtd", , "STRENGTH_METER", A183)</f>
        <v>Range Bound</v>
      </c>
      <c r="D183" t="str">
        <f>RTD("tos.rtd", , "QUOTE_TREND", A183)</f>
        <v>instrument=FHN</v>
      </c>
      <c r="E183">
        <f>RTD("tos.rtd", , "NET_CHANGE", A183)</f>
        <v>0.1</v>
      </c>
      <c r="F183">
        <f>RTD("tos.rtd", , "BID", A183)</f>
        <v>16</v>
      </c>
      <c r="G183">
        <f>RTD("tos.rtd", , "ASK", A183)</f>
        <v>20.5</v>
      </c>
      <c r="H183">
        <f>RTD("tos.rtd", , "BID_SIZE", A183)</f>
        <v>1</v>
      </c>
      <c r="I183">
        <f>RTD("tos.rtd", , "ASK_SIZE", A183)</f>
        <v>1</v>
      </c>
      <c r="J183">
        <f>RTD("tos.rtd", , "VOLUME", A183)</f>
        <v>2128349</v>
      </c>
      <c r="K183">
        <f>RTD("tos.rtd", , "OPEN", A183)</f>
        <v>18.2</v>
      </c>
      <c r="L183">
        <f>RTD("tos.rtd", , "HIGH",A183)</f>
        <v>18.45</v>
      </c>
      <c r="M183">
        <f>RTD("tos.rtd", , "LOW", A183)</f>
        <v>18.14</v>
      </c>
      <c r="N183">
        <f>RTD("tos.rtd", , "52HIGH", A183)</f>
        <v>20.84</v>
      </c>
      <c r="O183">
        <f>RTD("tos.rtd", , "52LOW", A183)</f>
        <v>15.84</v>
      </c>
      <c r="P183">
        <f>RTD("tos.rtd", , "Mark", A183)</f>
        <v>18.399999999999999</v>
      </c>
    </row>
    <row r="184" spans="1:16" x14ac:dyDescent="0.25">
      <c r="A184" t="s">
        <v>196</v>
      </c>
      <c r="B184">
        <f>RTD("tos.rtd", , "Last", A184)</f>
        <v>92.06</v>
      </c>
      <c r="C184" t="str">
        <f>RTD("tos.rtd", , "STRENGTH_METER", A184)</f>
        <v>Range Bound</v>
      </c>
      <c r="D184" t="str">
        <f>RTD("tos.rtd", , "QUOTE_TREND", A184)</f>
        <v>instrument=FIS</v>
      </c>
      <c r="E184">
        <f>RTD("tos.rtd", , "NET_CHANGE", A184)</f>
        <v>-1.1399999999999999</v>
      </c>
      <c r="F184">
        <f>RTD("tos.rtd", , "BID", A184)</f>
        <v>85</v>
      </c>
      <c r="G184">
        <f>RTD("tos.rtd", , "ASK", A184)</f>
        <v>92.08</v>
      </c>
      <c r="H184">
        <f>RTD("tos.rtd", , "BID_SIZE", A184)</f>
        <v>1</v>
      </c>
      <c r="I184">
        <f>RTD("tos.rtd", , "ASK_SIZE", A184)</f>
        <v>0</v>
      </c>
      <c r="J184">
        <f>RTD("tos.rtd", , "VOLUME", A184)</f>
        <v>1692006</v>
      </c>
      <c r="K184">
        <f>RTD("tos.rtd", , "OPEN", A184)</f>
        <v>92.99</v>
      </c>
      <c r="L184">
        <f>RTD("tos.rtd", , "HIGH",A184)</f>
        <v>93.23</v>
      </c>
      <c r="M184">
        <f>RTD("tos.rtd", , "LOW", A184)</f>
        <v>91.83</v>
      </c>
      <c r="N184">
        <f>RTD("tos.rtd", , "52HIGH", A184)</f>
        <v>96.67</v>
      </c>
      <c r="O184">
        <f>RTD("tos.rtd", , "52LOW", A184)</f>
        <v>73.97</v>
      </c>
      <c r="P184">
        <f>RTD("tos.rtd", , "Mark", A184)</f>
        <v>92.06</v>
      </c>
    </row>
    <row r="185" spans="1:16" x14ac:dyDescent="0.25">
      <c r="A185" t="s">
        <v>197</v>
      </c>
      <c r="B185">
        <f>RTD("tos.rtd", , "Last", A185)</f>
        <v>128.38999999999999</v>
      </c>
      <c r="C185" t="str">
        <f>RTD("tos.rtd", , "STRENGTH_METER", A185)</f>
        <v>Range Bound</v>
      </c>
      <c r="D185" t="str">
        <f>RTD("tos.rtd", , "QUOTE_TREND", A185)</f>
        <v>instrument=FISV</v>
      </c>
      <c r="E185">
        <f>RTD("tos.rtd", , "NET_CHANGE", A185)</f>
        <v>-1.1499999999999999</v>
      </c>
      <c r="F185">
        <f>RTD("tos.rtd", , "BID", A185)</f>
        <v>126.53</v>
      </c>
      <c r="G185">
        <f>RTD("tos.rtd", , "ASK", A185)</f>
        <v>128.66999999999999</v>
      </c>
      <c r="H185">
        <f>RTD("tos.rtd", , "BID_SIZE", A185)</f>
        <v>5</v>
      </c>
      <c r="I185">
        <f>RTD("tos.rtd", , "ASK_SIZE", A185)</f>
        <v>1</v>
      </c>
      <c r="J185">
        <f>RTD("tos.rtd", , "VOLUME", A185)</f>
        <v>803331</v>
      </c>
      <c r="K185">
        <f>RTD("tos.rtd", , "OPEN", A185)</f>
        <v>129.44</v>
      </c>
      <c r="L185">
        <f>RTD("tos.rtd", , "HIGH",A185)</f>
        <v>129.47999999999999</v>
      </c>
      <c r="M185">
        <f>RTD("tos.rtd", , "LOW", A185)</f>
        <v>127.92</v>
      </c>
      <c r="N185">
        <f>RTD("tos.rtd", , "52HIGH", A185)</f>
        <v>130.19999999999999</v>
      </c>
      <c r="O185">
        <f>RTD("tos.rtd", , "52LOW", A185)</f>
        <v>101.2</v>
      </c>
      <c r="P185">
        <f>RTD("tos.rtd", , "Mark", A185)</f>
        <v>128.38999999999999</v>
      </c>
    </row>
    <row r="186" spans="1:16" x14ac:dyDescent="0.25">
      <c r="A186" t="s">
        <v>198</v>
      </c>
      <c r="B186">
        <f>RTD("tos.rtd", , "Last", A186)</f>
        <v>28.45</v>
      </c>
      <c r="C186" t="str">
        <f>RTD("tos.rtd", , "STRENGTH_METER", A186)</f>
        <v>Range Bound</v>
      </c>
      <c r="D186" t="str">
        <f>RTD("tos.rtd", , "QUOTE_TREND", A186)</f>
        <v>instrument=FITB</v>
      </c>
      <c r="E186">
        <f>RTD("tos.rtd", , "NET_CHANGE", A186)</f>
        <v>-0.02</v>
      </c>
      <c r="F186">
        <f>RTD("tos.rtd", , "BID", A186)</f>
        <v>28.39</v>
      </c>
      <c r="G186">
        <f>RTD("tos.rtd", , "ASK", A186)</f>
        <v>28.48</v>
      </c>
      <c r="H186">
        <f>RTD("tos.rtd", , "BID_SIZE", A186)</f>
        <v>7</v>
      </c>
      <c r="I186">
        <f>RTD("tos.rtd", , "ASK_SIZE", A186)</f>
        <v>8</v>
      </c>
      <c r="J186">
        <f>RTD("tos.rtd", , "VOLUME", A186)</f>
        <v>3776977</v>
      </c>
      <c r="K186">
        <f>RTD("tos.rtd", , "OPEN", A186)</f>
        <v>28.18</v>
      </c>
      <c r="L186">
        <f>RTD("tos.rtd", , "HIGH",A186)</f>
        <v>28.54</v>
      </c>
      <c r="M186">
        <f>RTD("tos.rtd", , "LOW", A186)</f>
        <v>28.13</v>
      </c>
      <c r="N186">
        <f>RTD("tos.rtd", , "52HIGH", A186)</f>
        <v>29.39</v>
      </c>
      <c r="O186">
        <f>RTD("tos.rtd", , "52LOW", A186)</f>
        <v>23.2</v>
      </c>
      <c r="P186">
        <f>RTD("tos.rtd", , "Mark", A186)</f>
        <v>28.45</v>
      </c>
    </row>
    <row r="187" spans="1:16" x14ac:dyDescent="0.25">
      <c r="A187" t="s">
        <v>199</v>
      </c>
      <c r="B187">
        <f>RTD("tos.rtd", , "Last", A187)</f>
        <v>46.53</v>
      </c>
      <c r="C187" t="str">
        <f>RTD("tos.rtd", , "STRENGTH_METER", A187)</f>
        <v>Range Bound</v>
      </c>
      <c r="D187" t="str">
        <f>RTD("tos.rtd", , "QUOTE_TREND", A187)</f>
        <v>instrument=FLIR</v>
      </c>
      <c r="E187">
        <f>RTD("tos.rtd", , "NET_CHANGE", A187)</f>
        <v>-0.95</v>
      </c>
      <c r="F187">
        <f>RTD("tos.rtd", , "BID", A187)</f>
        <v>46</v>
      </c>
      <c r="G187">
        <f>RTD("tos.rtd", , "ASK", A187)</f>
        <v>46.96</v>
      </c>
      <c r="H187">
        <f>RTD("tos.rtd", , "BID_SIZE", A187)</f>
        <v>1</v>
      </c>
      <c r="I187">
        <f>RTD("tos.rtd", , "ASK_SIZE", A187)</f>
        <v>10</v>
      </c>
      <c r="J187">
        <f>RTD("tos.rtd", , "VOLUME", A187)</f>
        <v>1409818</v>
      </c>
      <c r="K187">
        <f>RTD("tos.rtd", , "OPEN", A187)</f>
        <v>47.32</v>
      </c>
      <c r="L187">
        <f>RTD("tos.rtd", , "HIGH",A187)</f>
        <v>47.48</v>
      </c>
      <c r="M187">
        <f>RTD("tos.rtd", , "LOW", A187)</f>
        <v>46.45</v>
      </c>
      <c r="N187">
        <f>RTD("tos.rtd", , "52HIGH", A187)</f>
        <v>48.06</v>
      </c>
      <c r="O187">
        <f>RTD("tos.rtd", , "52LOW", A187)</f>
        <v>33.75</v>
      </c>
      <c r="P187">
        <f>RTD("tos.rtd", , "Mark", A187)</f>
        <v>46.53</v>
      </c>
    </row>
    <row r="188" spans="1:16" x14ac:dyDescent="0.25">
      <c r="A188" t="s">
        <v>200</v>
      </c>
      <c r="B188">
        <f>RTD("tos.rtd", , "Last", A188)</f>
        <v>46.7</v>
      </c>
      <c r="C188" t="str">
        <f>RTD("tos.rtd", , "STRENGTH_METER", A188)</f>
        <v>Range Bound</v>
      </c>
      <c r="D188" t="str">
        <f>RTD("tos.rtd", , "QUOTE_TREND", A188)</f>
        <v>instrument=FLR</v>
      </c>
      <c r="E188">
        <f>RTD("tos.rtd", , "NET_CHANGE", A188)</f>
        <v>0.28000000000000003</v>
      </c>
      <c r="F188">
        <f>RTD("tos.rtd", , "BID", A188)</f>
        <v>45.05</v>
      </c>
      <c r="G188">
        <f>RTD("tos.rtd", , "ASK", A188)</f>
        <v>47.93</v>
      </c>
      <c r="H188">
        <f>RTD("tos.rtd", , "BID_SIZE", A188)</f>
        <v>5</v>
      </c>
      <c r="I188">
        <f>RTD("tos.rtd", , "ASK_SIZE", A188)</f>
        <v>2</v>
      </c>
      <c r="J188">
        <f>RTD("tos.rtd", , "VOLUME", A188)</f>
        <v>1323760</v>
      </c>
      <c r="K188">
        <f>RTD("tos.rtd", , "OPEN", A188)</f>
        <v>46.45</v>
      </c>
      <c r="L188">
        <f>RTD("tos.rtd", , "HIGH",A188)</f>
        <v>46.814999999999998</v>
      </c>
      <c r="M188">
        <f>RTD("tos.rtd", , "LOW", A188)</f>
        <v>46.38</v>
      </c>
      <c r="N188">
        <f>RTD("tos.rtd", , "52HIGH", A188)</f>
        <v>58.37</v>
      </c>
      <c r="O188">
        <f>RTD("tos.rtd", , "52LOW", A188)</f>
        <v>37.0351</v>
      </c>
      <c r="P188">
        <f>RTD("tos.rtd", , "Mark", A188)</f>
        <v>46.7</v>
      </c>
    </row>
    <row r="189" spans="1:16" x14ac:dyDescent="0.25">
      <c r="A189" t="s">
        <v>201</v>
      </c>
      <c r="B189">
        <f>RTD("tos.rtd", , "Last", A189)</f>
        <v>39.21</v>
      </c>
      <c r="C189" t="str">
        <f>RTD("tos.rtd", , "STRENGTH_METER", A189)</f>
        <v>Downtrend</v>
      </c>
      <c r="D189" t="str">
        <f>RTD("tos.rtd", , "QUOTE_TREND", A189)</f>
        <v>instrument=FLS</v>
      </c>
      <c r="E189">
        <f>RTD("tos.rtd", , "NET_CHANGE", A189)</f>
        <v>0.13</v>
      </c>
      <c r="F189">
        <f>RTD("tos.rtd", , "BID", A189)</f>
        <v>36.229999999999997</v>
      </c>
      <c r="G189">
        <f>RTD("tos.rtd", , "ASK", A189)</f>
        <v>40.299999999999997</v>
      </c>
      <c r="H189">
        <f>RTD("tos.rtd", , "BID_SIZE", A189)</f>
        <v>1</v>
      </c>
      <c r="I189">
        <f>RTD("tos.rtd", , "ASK_SIZE", A189)</f>
        <v>2</v>
      </c>
      <c r="J189">
        <f>RTD("tos.rtd", , "VOLUME", A189)</f>
        <v>936137</v>
      </c>
      <c r="K189">
        <f>RTD("tos.rtd", , "OPEN", A189)</f>
        <v>39.020000000000003</v>
      </c>
      <c r="L189">
        <f>RTD("tos.rtd", , "HIGH",A189)</f>
        <v>39.674999999999997</v>
      </c>
      <c r="M189">
        <f>RTD("tos.rtd", , "LOW", A189)</f>
        <v>38.76</v>
      </c>
      <c r="N189">
        <f>RTD("tos.rtd", , "52HIGH", A189)</f>
        <v>52.1</v>
      </c>
      <c r="O189">
        <f>RTD("tos.rtd", , "52LOW", A189)</f>
        <v>37.51</v>
      </c>
      <c r="P189">
        <f>RTD("tos.rtd", , "Mark", A189)</f>
        <v>39.21</v>
      </c>
    </row>
    <row r="190" spans="1:16" x14ac:dyDescent="0.25">
      <c r="A190" t="s">
        <v>202</v>
      </c>
      <c r="B190">
        <f>RTD("tos.rtd", , "Last", A190)</f>
        <v>92.94</v>
      </c>
      <c r="C190" t="str">
        <f>RTD("tos.rtd", , "STRENGTH_METER", A190)</f>
        <v>Range Bound</v>
      </c>
      <c r="D190" t="str">
        <f>RTD("tos.rtd", , "QUOTE_TREND", A190)</f>
        <v>instrument=FMC</v>
      </c>
      <c r="E190">
        <f>RTD("tos.rtd", , "NET_CHANGE", A190)</f>
        <v>-0.38</v>
      </c>
      <c r="F190">
        <f>RTD("tos.rtd", , "BID", A190)</f>
        <v>92</v>
      </c>
      <c r="G190">
        <f>RTD("tos.rtd", , "ASK", A190)</f>
        <v>93.3</v>
      </c>
      <c r="H190">
        <f>RTD("tos.rtd", , "BID_SIZE", A190)</f>
        <v>1</v>
      </c>
      <c r="I190">
        <f>RTD("tos.rtd", , "ASK_SIZE", A190)</f>
        <v>5</v>
      </c>
      <c r="J190">
        <f>RTD("tos.rtd", , "VOLUME", A190)</f>
        <v>763718</v>
      </c>
      <c r="K190">
        <f>RTD("tos.rtd", , "OPEN", A190)</f>
        <v>93.55</v>
      </c>
      <c r="L190">
        <f>RTD("tos.rtd", , "HIGH",A190)</f>
        <v>93.82</v>
      </c>
      <c r="M190">
        <f>RTD("tos.rtd", , "LOW", A190)</f>
        <v>92.76</v>
      </c>
      <c r="N190">
        <f>RTD("tos.rtd", , "52HIGH", A190)</f>
        <v>95.25</v>
      </c>
      <c r="O190">
        <f>RTD("tos.rtd", , "52LOW", A190)</f>
        <v>53.31</v>
      </c>
      <c r="P190">
        <f>RTD("tos.rtd", , "Mark", A190)</f>
        <v>92.94</v>
      </c>
    </row>
    <row r="191" spans="1:16" x14ac:dyDescent="0.25">
      <c r="A191" t="s">
        <v>203</v>
      </c>
      <c r="B191">
        <f>RTD("tos.rtd", , "Last", A191)</f>
        <v>7.95</v>
      </c>
      <c r="C191" t="str">
        <f>RTD("tos.rtd", , "STRENGTH_METER", A191)</f>
        <v>Downtrend</v>
      </c>
      <c r="D191" t="str">
        <f>RTD("tos.rtd", , "QUOTE_TREND", A191)</f>
        <v>instrument=FOSL</v>
      </c>
      <c r="E191">
        <f>RTD("tos.rtd", , "NET_CHANGE", A191)</f>
        <v>0.33</v>
      </c>
      <c r="F191">
        <f>RTD("tos.rtd", , "BID", A191)</f>
        <v>7.71</v>
      </c>
      <c r="G191">
        <f>RTD("tos.rtd", , "ASK", A191)</f>
        <v>7.95</v>
      </c>
      <c r="H191">
        <f>RTD("tos.rtd", , "BID_SIZE", A191)</f>
        <v>10</v>
      </c>
      <c r="I191">
        <f>RTD("tos.rtd", , "ASK_SIZE", A191)</f>
        <v>1</v>
      </c>
      <c r="J191">
        <f>RTD("tos.rtd", , "VOLUME", A191)</f>
        <v>2053435</v>
      </c>
      <c r="K191">
        <f>RTD("tos.rtd", , "OPEN", A191)</f>
        <v>7.83</v>
      </c>
      <c r="L191">
        <f>RTD("tos.rtd", , "HIGH",A191)</f>
        <v>8.0399999999999991</v>
      </c>
      <c r="M191">
        <f>RTD("tos.rtd", , "LOW", A191)</f>
        <v>7.5709999999999997</v>
      </c>
      <c r="N191">
        <f>RTD("tos.rtd", , "52HIGH", A191)</f>
        <v>36.865000000000002</v>
      </c>
      <c r="O191">
        <f>RTD("tos.rtd", , "52LOW", A191)</f>
        <v>5.5</v>
      </c>
      <c r="P191">
        <f>RTD("tos.rtd", , "Mark", A191)</f>
        <v>7.95</v>
      </c>
    </row>
    <row r="192" spans="1:16" x14ac:dyDescent="0.25">
      <c r="A192" t="s">
        <v>204</v>
      </c>
      <c r="B192" t="str">
        <f>RTD("tos.rtd", , "Last", A192)</f>
        <v>N/A</v>
      </c>
      <c r="C192" t="str">
        <f>RTD("tos.rtd", , "STRENGTH_METER", A192)</f>
        <v>N/A</v>
      </c>
      <c r="D192" t="str">
        <f>RTD("tos.rtd", , "QUOTE_TREND", A192)</f>
        <v>instrument=FRX</v>
      </c>
      <c r="E192" t="str">
        <f>RTD("tos.rtd", , "NET_CHANGE", A192)</f>
        <v>N/A</v>
      </c>
      <c r="F192" t="str">
        <f>RTD("tos.rtd", , "BID", A192)</f>
        <v>N/A</v>
      </c>
      <c r="G192" t="str">
        <f>RTD("tos.rtd", , "ASK", A192)</f>
        <v>N/A</v>
      </c>
      <c r="H192">
        <f>RTD("tos.rtd", , "BID_SIZE", A192)</f>
        <v>0</v>
      </c>
      <c r="I192">
        <f>RTD("tos.rtd", , "ASK_SIZE", A192)</f>
        <v>0</v>
      </c>
      <c r="J192" t="str">
        <f>RTD("tos.rtd", , "VOLUME", A192)</f>
        <v>N/A</v>
      </c>
      <c r="K192" t="str">
        <f>RTD("tos.rtd", , "OPEN", A192)</f>
        <v>N/A</v>
      </c>
      <c r="L192" t="str">
        <f>RTD("tos.rtd", , "HIGH",A192)</f>
        <v>N/A</v>
      </c>
      <c r="M192" t="str">
        <f>RTD("tos.rtd", , "LOW", A192)</f>
        <v>N/A</v>
      </c>
      <c r="N192" t="str">
        <f>RTD("tos.rtd", , "52HIGH", A192)</f>
        <v>N/A</v>
      </c>
      <c r="O192" t="str">
        <f>RTD("tos.rtd", , "52LOW", A192)</f>
        <v>N/A</v>
      </c>
      <c r="P192" t="str">
        <f>RTD("tos.rtd", , "Mark", A192)</f>
        <v>N/A</v>
      </c>
    </row>
    <row r="193" spans="1:16" x14ac:dyDescent="0.25">
      <c r="A193" t="s">
        <v>205</v>
      </c>
      <c r="B193">
        <f>RTD("tos.rtd", , "Last", A193)</f>
        <v>60.18</v>
      </c>
      <c r="C193" t="str">
        <f>RTD("tos.rtd", , "STRENGTH_METER", A193)</f>
        <v>Uptrend</v>
      </c>
      <c r="D193" t="str">
        <f>RTD("tos.rtd", , "QUOTE_TREND", A193)</f>
        <v>instrument=FSLR</v>
      </c>
      <c r="E193">
        <f>RTD("tos.rtd", , "NET_CHANGE", A193)</f>
        <v>-0.17</v>
      </c>
      <c r="F193">
        <f>RTD("tos.rtd", , "BID", A193)</f>
        <v>60.09</v>
      </c>
      <c r="G193">
        <f>RTD("tos.rtd", , "ASK", A193)</f>
        <v>60.53</v>
      </c>
      <c r="H193">
        <f>RTD("tos.rtd", , "BID_SIZE", A193)</f>
        <v>1</v>
      </c>
      <c r="I193">
        <f>RTD("tos.rtd", , "ASK_SIZE", A193)</f>
        <v>3</v>
      </c>
      <c r="J193">
        <f>RTD("tos.rtd", , "VOLUME", A193)</f>
        <v>1314185</v>
      </c>
      <c r="K193">
        <f>RTD("tos.rtd", , "OPEN", A193)</f>
        <v>60.76</v>
      </c>
      <c r="L193">
        <f>RTD("tos.rtd", , "HIGH",A193)</f>
        <v>60.8</v>
      </c>
      <c r="M193">
        <f>RTD("tos.rtd", , "LOW", A193)</f>
        <v>59.53</v>
      </c>
      <c r="N193">
        <f>RTD("tos.rtd", , "52HIGH", A193)</f>
        <v>62.568600000000004</v>
      </c>
      <c r="O193">
        <f>RTD("tos.rtd", , "52LOW", A193)</f>
        <v>25.558800000000002</v>
      </c>
      <c r="P193">
        <f>RTD("tos.rtd", , "Mark", A193)</f>
        <v>60.18</v>
      </c>
    </row>
    <row r="194" spans="1:16" x14ac:dyDescent="0.25">
      <c r="A194" t="s">
        <v>206</v>
      </c>
      <c r="B194">
        <f>RTD("tos.rtd", , "Last", A194)</f>
        <v>26.62</v>
      </c>
      <c r="C194" t="str">
        <f>RTD("tos.rtd", , "STRENGTH_METER", A194)</f>
        <v>Range Bound</v>
      </c>
      <c r="D194" t="str">
        <f>RTD("tos.rtd", , "QUOTE_TREND", A194)</f>
        <v>instrument=FTI</v>
      </c>
      <c r="E194">
        <f>RTD("tos.rtd", , "NET_CHANGE", A194)</f>
        <v>0.08</v>
      </c>
      <c r="F194">
        <f>RTD("tos.rtd", , "BID", A194)</f>
        <v>26.58</v>
      </c>
      <c r="G194">
        <f>RTD("tos.rtd", , "ASK", A194)</f>
        <v>30.5</v>
      </c>
      <c r="H194">
        <f>RTD("tos.rtd", , "BID_SIZE", A194)</f>
        <v>23</v>
      </c>
      <c r="I194">
        <f>RTD("tos.rtd", , "ASK_SIZE", A194)</f>
        <v>10</v>
      </c>
      <c r="J194">
        <f>RTD("tos.rtd", , "VOLUME", A194)</f>
        <v>2343141</v>
      </c>
      <c r="K194">
        <f>RTD("tos.rtd", , "OPEN", A194)</f>
        <v>26.59</v>
      </c>
      <c r="L194">
        <f>RTD("tos.rtd", , "HIGH",A194)</f>
        <v>26.82</v>
      </c>
      <c r="M194">
        <f>RTD("tos.rtd", , "LOW", A194)</f>
        <v>26.51</v>
      </c>
      <c r="N194">
        <f>RTD("tos.rtd", , "52HIGH", A194)</f>
        <v>36.424999999999997</v>
      </c>
      <c r="O194">
        <f>RTD("tos.rtd", , "52LOW", A194)</f>
        <v>24.53</v>
      </c>
      <c r="P194">
        <f>RTD("tos.rtd", , "Mark", A194)</f>
        <v>26.62</v>
      </c>
    </row>
    <row r="195" spans="1:16" x14ac:dyDescent="0.25">
      <c r="A195" t="s">
        <v>207</v>
      </c>
      <c r="B195">
        <f>RTD("tos.rtd", , "Last", A195)</f>
        <v>6.96</v>
      </c>
      <c r="C195" t="str">
        <f>RTD("tos.rtd", , "STRENGTH_METER", A195)</f>
        <v>Downtrend</v>
      </c>
      <c r="D195" t="str">
        <f>RTD("tos.rtd", , "QUOTE_TREND", A195)</f>
        <v>instrument=FTR</v>
      </c>
      <c r="E195">
        <f>RTD("tos.rtd", , "NET_CHANGE", A195)</f>
        <v>0.3</v>
      </c>
      <c r="F195">
        <f>RTD("tos.rtd", , "BID", A195)</f>
        <v>6.91</v>
      </c>
      <c r="G195">
        <f>RTD("tos.rtd", , "ASK", A195)</f>
        <v>6.99</v>
      </c>
      <c r="H195">
        <f>RTD("tos.rtd", , "BID_SIZE", A195)</f>
        <v>1</v>
      </c>
      <c r="I195">
        <f>RTD("tos.rtd", , "ASK_SIZE", A195)</f>
        <v>4</v>
      </c>
      <c r="J195">
        <f>RTD("tos.rtd", , "VOLUME", A195)</f>
        <v>3447184</v>
      </c>
      <c r="K195">
        <f>RTD("tos.rtd", , "OPEN", A195)</f>
        <v>6.68</v>
      </c>
      <c r="L195">
        <f>RTD("tos.rtd", , "HIGH",A195)</f>
        <v>7.01</v>
      </c>
      <c r="M195">
        <f>RTD("tos.rtd", , "LOW", A195)</f>
        <v>6.63</v>
      </c>
      <c r="N195">
        <f>RTD("tos.rtd", , "52HIGH", A195)</f>
        <v>57.299712999999997</v>
      </c>
      <c r="O195">
        <f>RTD("tos.rtd", , "52LOW", A195)</f>
        <v>6.25</v>
      </c>
      <c r="P195">
        <f>RTD("tos.rtd", , "Mark", A195)</f>
        <v>6.96</v>
      </c>
    </row>
    <row r="196" spans="1:16" x14ac:dyDescent="0.25">
      <c r="A196" t="s">
        <v>208</v>
      </c>
      <c r="B196">
        <f>RTD("tos.rtd", , "Last", A196)</f>
        <v>0</v>
      </c>
      <c r="C196" t="str">
        <f>RTD("tos.rtd", , "STRENGTH_METER", A196)</f>
        <v>N/A</v>
      </c>
      <c r="D196" t="str">
        <f>RTD("tos.rtd", , "QUOTE_TREND", A196)</f>
        <v>instrument=GAS</v>
      </c>
      <c r="E196">
        <f>RTD("tos.rtd", , "NET_CHANGE", A196)</f>
        <v>0</v>
      </c>
      <c r="F196">
        <f>RTD("tos.rtd", , "BID", A196)</f>
        <v>65.98</v>
      </c>
      <c r="G196">
        <f>RTD("tos.rtd", , "ASK", A196)</f>
        <v>66</v>
      </c>
      <c r="H196">
        <f>RTD("tos.rtd", , "BID_SIZE", A196)</f>
        <v>0</v>
      </c>
      <c r="I196">
        <f>RTD("tos.rtd", , "ASK_SIZE", A196)</f>
        <v>0</v>
      </c>
      <c r="J196">
        <f>RTD("tos.rtd", , "VOLUME", A196)</f>
        <v>0</v>
      </c>
      <c r="K196">
        <f>RTD("tos.rtd", , "OPEN", A196)</f>
        <v>0</v>
      </c>
      <c r="L196">
        <f>RTD("tos.rtd", , "HIGH",A196)</f>
        <v>0</v>
      </c>
      <c r="M196">
        <f>RTD("tos.rtd", , "LOW", A196)</f>
        <v>0</v>
      </c>
      <c r="N196">
        <f>RTD("tos.rtd", , "52HIGH", A196)</f>
        <v>66.489999999999995</v>
      </c>
      <c r="O196">
        <f>RTD("tos.rtd", , "52LOW", A196)</f>
        <v>46.85</v>
      </c>
      <c r="P196">
        <f>RTD("tos.rtd", , "Mark", A196)</f>
        <v>65.98</v>
      </c>
    </row>
    <row r="197" spans="1:16" x14ac:dyDescent="0.25">
      <c r="A197" t="s">
        <v>209</v>
      </c>
      <c r="B197">
        <f>RTD("tos.rtd", , "Last", A197)</f>
        <v>11.48</v>
      </c>
      <c r="C197" t="str">
        <f>RTD("tos.rtd", , "STRENGTH_METER", A197)</f>
        <v>Uptrend</v>
      </c>
      <c r="D197" t="str">
        <f>RTD("tos.rtd", , "QUOTE_TREND", A197)</f>
        <v>instrument=GCI</v>
      </c>
      <c r="E197">
        <f>RTD("tos.rtd", , "NET_CHANGE", A197)</f>
        <v>0.2</v>
      </c>
      <c r="F197">
        <f>RTD("tos.rtd", , "BID", A197)</f>
        <v>10.77</v>
      </c>
      <c r="G197">
        <f>RTD("tos.rtd", , "ASK", A197)</f>
        <v>11.51</v>
      </c>
      <c r="H197">
        <f>RTD("tos.rtd", , "BID_SIZE", A197)</f>
        <v>1</v>
      </c>
      <c r="I197">
        <f>RTD("tos.rtd", , "ASK_SIZE", A197)</f>
        <v>18</v>
      </c>
      <c r="J197">
        <f>RTD("tos.rtd", , "VOLUME", A197)</f>
        <v>964503</v>
      </c>
      <c r="K197">
        <f>RTD("tos.rtd", , "OPEN", A197)</f>
        <v>11.27</v>
      </c>
      <c r="L197">
        <f>RTD("tos.rtd", , "HIGH",A197)</f>
        <v>11.66</v>
      </c>
      <c r="M197">
        <f>RTD("tos.rtd", , "LOW", A197)</f>
        <v>11.210100000000001</v>
      </c>
      <c r="N197">
        <f>RTD("tos.rtd", , "52HIGH", A197)</f>
        <v>11.41</v>
      </c>
      <c r="O197">
        <f>RTD("tos.rtd", , "52LOW", A197)</f>
        <v>7.36</v>
      </c>
      <c r="P197">
        <f>RTD("tos.rtd", , "Mark", A197)</f>
        <v>11.48</v>
      </c>
    </row>
    <row r="198" spans="1:16" x14ac:dyDescent="0.25">
      <c r="A198" t="s">
        <v>210</v>
      </c>
      <c r="B198">
        <f>RTD("tos.rtd", , "Last", A198)</f>
        <v>197.77</v>
      </c>
      <c r="C198" t="str">
        <f>RTD("tos.rtd", , "STRENGTH_METER", A198)</f>
        <v>Range Bound</v>
      </c>
      <c r="D198" t="str">
        <f>RTD("tos.rtd", , "QUOTE_TREND", A198)</f>
        <v>instrument=GD</v>
      </c>
      <c r="E198">
        <f>RTD("tos.rtd", , "NET_CHANGE", A198)</f>
        <v>-1.45</v>
      </c>
      <c r="F198">
        <f>RTD("tos.rtd", , "BID", A198)</f>
        <v>197</v>
      </c>
      <c r="G198">
        <f>RTD("tos.rtd", , "ASK", A198)</f>
        <v>198.61</v>
      </c>
      <c r="H198">
        <f>RTD("tos.rtd", , "BID_SIZE", A198)</f>
        <v>1</v>
      </c>
      <c r="I198">
        <f>RTD("tos.rtd", , "ASK_SIZE", A198)</f>
        <v>4</v>
      </c>
      <c r="J198">
        <f>RTD("tos.rtd", , "VOLUME", A198)</f>
        <v>762499</v>
      </c>
      <c r="K198">
        <f>RTD("tos.rtd", , "OPEN", A198)</f>
        <v>198.26</v>
      </c>
      <c r="L198">
        <f>RTD("tos.rtd", , "HIGH",A198)</f>
        <v>199.56</v>
      </c>
      <c r="M198">
        <f>RTD("tos.rtd", , "LOW", A198)</f>
        <v>197.75</v>
      </c>
      <c r="N198">
        <f>RTD("tos.rtd", , "52HIGH", A198)</f>
        <v>214.81</v>
      </c>
      <c r="O198">
        <f>RTD("tos.rtd", , "52LOW", A198)</f>
        <v>164.97</v>
      </c>
      <c r="P198">
        <f>RTD("tos.rtd", , "Mark", A198)</f>
        <v>197.77</v>
      </c>
    </row>
    <row r="199" spans="1:16" x14ac:dyDescent="0.25">
      <c r="A199" t="s">
        <v>211</v>
      </c>
      <c r="B199">
        <f>RTD("tos.rtd", , "Last", A199)</f>
        <v>18.21</v>
      </c>
      <c r="C199" t="str">
        <f>RTD("tos.rtd", , "STRENGTH_METER", A199)</f>
        <v>Downtrend</v>
      </c>
      <c r="D199" t="str">
        <f>RTD("tos.rtd", , "QUOTE_TREND", A199)</f>
        <v>instrument=GE</v>
      </c>
      <c r="E199">
        <f>RTD("tos.rtd", , "NET_CHANGE", A199)</f>
        <v>-0.04</v>
      </c>
      <c r="F199">
        <f>RTD("tos.rtd", , "BID", A199)</f>
        <v>18.23</v>
      </c>
      <c r="G199">
        <f>RTD("tos.rtd", , "ASK", A199)</f>
        <v>18.239999999999998</v>
      </c>
      <c r="H199">
        <f>RTD("tos.rtd", , "BID_SIZE", A199)</f>
        <v>5</v>
      </c>
      <c r="I199">
        <f>RTD("tos.rtd", , "ASK_SIZE", A199)</f>
        <v>3</v>
      </c>
      <c r="J199">
        <f>RTD("tos.rtd", , "VOLUME", A199)</f>
        <v>60297422</v>
      </c>
      <c r="K199">
        <f>RTD("tos.rtd", , "OPEN", A199)</f>
        <v>18.34</v>
      </c>
      <c r="L199">
        <f>RTD("tos.rtd", , "HIGH",A199)</f>
        <v>18.47</v>
      </c>
      <c r="M199">
        <f>RTD("tos.rtd", , "LOW", A199)</f>
        <v>18.21</v>
      </c>
      <c r="N199">
        <f>RTD("tos.rtd", , "52HIGH", A199)</f>
        <v>32.380000000000003</v>
      </c>
      <c r="O199">
        <f>RTD("tos.rtd", , "52LOW", A199)</f>
        <v>17.46</v>
      </c>
      <c r="P199">
        <f>RTD("tos.rtd", , "Mark", A199)</f>
        <v>18.23</v>
      </c>
    </row>
    <row r="200" spans="1:16" x14ac:dyDescent="0.25">
      <c r="A200" t="s">
        <v>212</v>
      </c>
      <c r="B200">
        <f>RTD("tos.rtd", , "Last", A200)</f>
        <v>72.44</v>
      </c>
      <c r="C200" t="str">
        <f>RTD("tos.rtd", , "STRENGTH_METER", A200)</f>
        <v>Range Bound</v>
      </c>
      <c r="D200" t="str">
        <f>RTD("tos.rtd", , "QUOTE_TREND", A200)</f>
        <v>instrument=GILD</v>
      </c>
      <c r="E200">
        <f>RTD("tos.rtd", , "NET_CHANGE", A200)</f>
        <v>0.03</v>
      </c>
      <c r="F200">
        <f>RTD("tos.rtd", , "BID", A200)</f>
        <v>72.319999999999993</v>
      </c>
      <c r="G200">
        <f>RTD("tos.rtd", , "ASK", A200)</f>
        <v>72.44</v>
      </c>
      <c r="H200">
        <f>RTD("tos.rtd", , "BID_SIZE", A200)</f>
        <v>1</v>
      </c>
      <c r="I200">
        <f>RTD("tos.rtd", , "ASK_SIZE", A200)</f>
        <v>11</v>
      </c>
      <c r="J200">
        <f>RTD("tos.rtd", , "VOLUME", A200)</f>
        <v>5060349</v>
      </c>
      <c r="K200">
        <f>RTD("tos.rtd", , "OPEN", A200)</f>
        <v>72.27</v>
      </c>
      <c r="L200">
        <f>RTD("tos.rtd", , "HIGH",A200)</f>
        <v>72.62</v>
      </c>
      <c r="M200">
        <f>RTD("tos.rtd", , "LOW", A200)</f>
        <v>72.12</v>
      </c>
      <c r="N200">
        <f>RTD("tos.rtd", , "52HIGH", A200)</f>
        <v>86.266599999999997</v>
      </c>
      <c r="O200">
        <f>RTD("tos.rtd", , "52LOW", A200)</f>
        <v>63.759</v>
      </c>
      <c r="P200">
        <f>RTD("tos.rtd", , "Mark", A200)</f>
        <v>72.44</v>
      </c>
    </row>
    <row r="201" spans="1:16" x14ac:dyDescent="0.25">
      <c r="A201" t="s">
        <v>213</v>
      </c>
      <c r="B201">
        <f>RTD("tos.rtd", , "Last", A201)</f>
        <v>53.72</v>
      </c>
      <c r="C201" t="str">
        <f>RTD("tos.rtd", , "STRENGTH_METER", A201)</f>
        <v>Range Bound</v>
      </c>
      <c r="D201" t="str">
        <f>RTD("tos.rtd", , "QUOTE_TREND", A201)</f>
        <v>instrument=GIS</v>
      </c>
      <c r="E201">
        <f>RTD("tos.rtd", , "NET_CHANGE", A201)</f>
        <v>0.05</v>
      </c>
      <c r="F201">
        <f>RTD("tos.rtd", , "BID", A201)</f>
        <v>53.64</v>
      </c>
      <c r="G201">
        <f>RTD("tos.rtd", , "ASK", A201)</f>
        <v>53.78</v>
      </c>
      <c r="H201">
        <f>RTD("tos.rtd", , "BID_SIZE", A201)</f>
        <v>1</v>
      </c>
      <c r="I201">
        <f>RTD("tos.rtd", , "ASK_SIZE", A201)</f>
        <v>1</v>
      </c>
      <c r="J201">
        <f>RTD("tos.rtd", , "VOLUME", A201)</f>
        <v>4449797</v>
      </c>
      <c r="K201">
        <f>RTD("tos.rtd", , "OPEN", A201)</f>
        <v>53.49</v>
      </c>
      <c r="L201">
        <f>RTD("tos.rtd", , "HIGH",A201)</f>
        <v>53.93</v>
      </c>
      <c r="M201">
        <f>RTD("tos.rtd", , "LOW", A201)</f>
        <v>53.38</v>
      </c>
      <c r="N201">
        <f>RTD("tos.rtd", , "52HIGH", A201)</f>
        <v>64.06</v>
      </c>
      <c r="O201">
        <f>RTD("tos.rtd", , "52LOW", A201)</f>
        <v>49.65</v>
      </c>
      <c r="P201">
        <f>RTD("tos.rtd", , "Mark", A201)</f>
        <v>53.72</v>
      </c>
    </row>
    <row r="202" spans="1:16" x14ac:dyDescent="0.25">
      <c r="A202" t="s">
        <v>214</v>
      </c>
      <c r="B202">
        <f>RTD("tos.rtd", , "Last", A202)</f>
        <v>31.63</v>
      </c>
      <c r="C202" t="str">
        <f>RTD("tos.rtd", , "STRENGTH_METER", A202)</f>
        <v>Range Bound</v>
      </c>
      <c r="D202" t="str">
        <f>RTD("tos.rtd", , "QUOTE_TREND", A202)</f>
        <v>instrument=GLW</v>
      </c>
      <c r="E202">
        <f>RTD("tos.rtd", , "NET_CHANGE", A202)</f>
        <v>-0.02</v>
      </c>
      <c r="F202">
        <f>RTD("tos.rtd", , "BID", A202)</f>
        <v>31.58</v>
      </c>
      <c r="G202">
        <f>RTD("tos.rtd", , "ASK", A202)</f>
        <v>31.66</v>
      </c>
      <c r="H202">
        <f>RTD("tos.rtd", , "BID_SIZE", A202)</f>
        <v>7</v>
      </c>
      <c r="I202">
        <f>RTD("tos.rtd", , "ASK_SIZE", A202)</f>
        <v>8</v>
      </c>
      <c r="J202">
        <f>RTD("tos.rtd", , "VOLUME", A202)</f>
        <v>3415928</v>
      </c>
      <c r="K202">
        <f>RTD("tos.rtd", , "OPEN", A202)</f>
        <v>31.54</v>
      </c>
      <c r="L202">
        <f>RTD("tos.rtd", , "HIGH",A202)</f>
        <v>31.8</v>
      </c>
      <c r="M202">
        <f>RTD("tos.rtd", , "LOW", A202)</f>
        <v>31.49</v>
      </c>
      <c r="N202">
        <f>RTD("tos.rtd", , "52HIGH", A202)</f>
        <v>32.325000000000003</v>
      </c>
      <c r="O202">
        <f>RTD("tos.rtd", , "52LOW", A202)</f>
        <v>23.48</v>
      </c>
      <c r="P202">
        <f>RTD("tos.rtd", , "Mark", A202)</f>
        <v>31.63</v>
      </c>
    </row>
    <row r="203" spans="1:16" x14ac:dyDescent="0.25">
      <c r="A203" t="s">
        <v>215</v>
      </c>
      <c r="B203">
        <f>RTD("tos.rtd", , "Last", A203)</f>
        <v>16.309999999999999</v>
      </c>
      <c r="C203" t="str">
        <f>RTD("tos.rtd", , "STRENGTH_METER", A203)</f>
        <v>Downtrend</v>
      </c>
      <c r="D203" t="str">
        <f>RTD("tos.rtd", , "QUOTE_TREND", A203)</f>
        <v>instrument=GME</v>
      </c>
      <c r="E203">
        <f>RTD("tos.rtd", , "NET_CHANGE", A203)</f>
        <v>0.13</v>
      </c>
      <c r="F203">
        <f>RTD("tos.rtd", , "BID", A203)</f>
        <v>16.239999999999998</v>
      </c>
      <c r="G203">
        <f>RTD("tos.rtd", , "ASK", A203)</f>
        <v>16.399999999999999</v>
      </c>
      <c r="H203">
        <f>RTD("tos.rtd", , "BID_SIZE", A203)</f>
        <v>2</v>
      </c>
      <c r="I203">
        <f>RTD("tos.rtd", , "ASK_SIZE", A203)</f>
        <v>18</v>
      </c>
      <c r="J203">
        <f>RTD("tos.rtd", , "VOLUME", A203)</f>
        <v>3131286</v>
      </c>
      <c r="K203">
        <f>RTD("tos.rtd", , "OPEN", A203)</f>
        <v>16.309999999999999</v>
      </c>
      <c r="L203">
        <f>RTD("tos.rtd", , "HIGH",A203)</f>
        <v>16.579999999999998</v>
      </c>
      <c r="M203">
        <f>RTD("tos.rtd", , "LOW", A203)</f>
        <v>16.149999999999999</v>
      </c>
      <c r="N203">
        <f>RTD("tos.rtd", , "52HIGH", A203)</f>
        <v>26.844999999999999</v>
      </c>
      <c r="O203">
        <f>RTD("tos.rtd", , "52LOW", A203)</f>
        <v>15.85</v>
      </c>
      <c r="P203">
        <f>RTD("tos.rtd", , "Mark", A203)</f>
        <v>16.309999999999999</v>
      </c>
    </row>
    <row r="204" spans="1:16" x14ac:dyDescent="0.25">
      <c r="A204" t="s">
        <v>216</v>
      </c>
      <c r="B204">
        <f>RTD("tos.rtd", , "Last", A204)</f>
        <v>3.38</v>
      </c>
      <c r="C204" t="str">
        <f>RTD("tos.rtd", , "STRENGTH_METER", A204)</f>
        <v>Range Bound</v>
      </c>
      <c r="D204" t="str">
        <f>RTD("tos.rtd", , "QUOTE_TREND", A204)</f>
        <v>instrument=GNW</v>
      </c>
      <c r="E204">
        <f>RTD("tos.rtd", , "NET_CHANGE", A204)</f>
        <v>0.22</v>
      </c>
      <c r="F204">
        <f>RTD("tos.rtd", , "BID", A204)</f>
        <v>3.37</v>
      </c>
      <c r="G204">
        <f>RTD("tos.rtd", , "ASK", A204)</f>
        <v>3.39</v>
      </c>
      <c r="H204">
        <f>RTD("tos.rtd", , "BID_SIZE", A204)</f>
        <v>3</v>
      </c>
      <c r="I204">
        <f>RTD("tos.rtd", , "ASK_SIZE", A204)</f>
        <v>80</v>
      </c>
      <c r="J204">
        <f>RTD("tos.rtd", , "VOLUME", A204)</f>
        <v>3283287</v>
      </c>
      <c r="K204">
        <f>RTD("tos.rtd", , "OPEN", A204)</f>
        <v>3.21</v>
      </c>
      <c r="L204">
        <f>RTD("tos.rtd", , "HIGH",A204)</f>
        <v>3.38</v>
      </c>
      <c r="M204">
        <f>RTD("tos.rtd", , "LOW", A204)</f>
        <v>3.21</v>
      </c>
      <c r="N204">
        <f>RTD("tos.rtd", , "52HIGH", A204)</f>
        <v>4.46</v>
      </c>
      <c r="O204">
        <f>RTD("tos.rtd", , "52LOW", A204)</f>
        <v>3.12</v>
      </c>
      <c r="P204">
        <f>RTD("tos.rtd", , "Mark", A204)</f>
        <v>3.38</v>
      </c>
    </row>
    <row r="205" spans="1:16" x14ac:dyDescent="0.25">
      <c r="A205" t="s">
        <v>217</v>
      </c>
      <c r="B205">
        <f>RTD("tos.rtd", , "Last", A205)</f>
        <v>1019.09</v>
      </c>
      <c r="C205" t="str">
        <f>RTD("tos.rtd", , "STRENGTH_METER", A205)</f>
        <v>Range Bound</v>
      </c>
      <c r="D205" t="str">
        <f>RTD("tos.rtd", , "QUOTE_TREND", A205)</f>
        <v>instrument=GOOG</v>
      </c>
      <c r="E205">
        <f>RTD("tos.rtd", , "NET_CHANGE", A205)</f>
        <v>-13.41</v>
      </c>
      <c r="F205">
        <f>RTD("tos.rtd", , "BID", A205)</f>
        <v>1019</v>
      </c>
      <c r="G205">
        <f>RTD("tos.rtd", , "ASK", A205)</f>
        <v>1019.5</v>
      </c>
      <c r="H205">
        <f>RTD("tos.rtd", , "BID_SIZE", A205)</f>
        <v>29</v>
      </c>
      <c r="I205">
        <f>RTD("tos.rtd", , "ASK_SIZE", A205)</f>
        <v>30</v>
      </c>
      <c r="J205">
        <f>RTD("tos.rtd", , "VOLUME", A205)</f>
        <v>1359999</v>
      </c>
      <c r="K205">
        <f>RTD("tos.rtd", , "OPEN", A205)</f>
        <v>1034.01</v>
      </c>
      <c r="L205">
        <f>RTD("tos.rtd", , "HIGH",A205)</f>
        <v>1034.42</v>
      </c>
      <c r="M205">
        <f>RTD("tos.rtd", , "LOW", A205)</f>
        <v>1017.75</v>
      </c>
      <c r="N205">
        <f>RTD("tos.rtd", , "52HIGH", A205)</f>
        <v>1048.3900000000001</v>
      </c>
      <c r="O205">
        <f>RTD("tos.rtd", , "52LOW", A205)</f>
        <v>737.02449999999999</v>
      </c>
      <c r="P205">
        <f>RTD("tos.rtd", , "Mark", A205)</f>
        <v>1019.09</v>
      </c>
    </row>
    <row r="206" spans="1:16" x14ac:dyDescent="0.25">
      <c r="A206" t="s">
        <v>218</v>
      </c>
      <c r="B206">
        <f>RTD("tos.rtd", , "Last", A206)</f>
        <v>86.13</v>
      </c>
      <c r="C206" t="str">
        <f>RTD("tos.rtd", , "STRENGTH_METER", A206)</f>
        <v>Range Bound</v>
      </c>
      <c r="D206" t="str">
        <f>RTD("tos.rtd", , "QUOTE_TREND", A206)</f>
        <v>instrument=GPC</v>
      </c>
      <c r="E206">
        <f>RTD("tos.rtd", , "NET_CHANGE", A206)</f>
        <v>0.14000000000000001</v>
      </c>
      <c r="F206">
        <f>RTD("tos.rtd", , "BID", A206)</f>
        <v>82.8</v>
      </c>
      <c r="G206">
        <f>RTD("tos.rtd", , "ASK", A206)</f>
        <v>88.21</v>
      </c>
      <c r="H206">
        <f>RTD("tos.rtd", , "BID_SIZE", A206)</f>
        <v>1</v>
      </c>
      <c r="I206">
        <f>RTD("tos.rtd", , "ASK_SIZE", A206)</f>
        <v>5</v>
      </c>
      <c r="J206">
        <f>RTD("tos.rtd", , "VOLUME", A206)</f>
        <v>526048</v>
      </c>
      <c r="K206">
        <f>RTD("tos.rtd", , "OPEN", A206)</f>
        <v>85.95</v>
      </c>
      <c r="L206">
        <f>RTD("tos.rtd", , "HIGH",A206)</f>
        <v>86.8</v>
      </c>
      <c r="M206">
        <f>RTD("tos.rtd", , "LOW", A206)</f>
        <v>85.8</v>
      </c>
      <c r="N206">
        <f>RTD("tos.rtd", , "52HIGH", A206)</f>
        <v>100.9</v>
      </c>
      <c r="O206">
        <f>RTD("tos.rtd", , "52LOW", A206)</f>
        <v>79.86</v>
      </c>
      <c r="P206">
        <f>RTD("tos.rtd", , "Mark", A206)</f>
        <v>86.13</v>
      </c>
    </row>
    <row r="207" spans="1:16" x14ac:dyDescent="0.25">
      <c r="A207" t="s">
        <v>219</v>
      </c>
      <c r="B207">
        <f>RTD("tos.rtd", , "Last", A207)</f>
        <v>29.4</v>
      </c>
      <c r="C207" t="str">
        <f>RTD("tos.rtd", , "STRENGTH_METER", A207)</f>
        <v>Range Bound</v>
      </c>
      <c r="D207" t="str">
        <f>RTD("tos.rtd", , "QUOTE_TREND", A207)</f>
        <v>instrument=GPS</v>
      </c>
      <c r="E207">
        <f>RTD("tos.rtd", , "NET_CHANGE", A207)</f>
        <v>1.92</v>
      </c>
      <c r="F207">
        <f>RTD("tos.rtd", , "BID", A207)</f>
        <v>29.32</v>
      </c>
      <c r="G207">
        <f>RTD("tos.rtd", , "ASK", A207)</f>
        <v>29.38</v>
      </c>
      <c r="H207">
        <f>RTD("tos.rtd", , "BID_SIZE", A207)</f>
        <v>3</v>
      </c>
      <c r="I207">
        <f>RTD("tos.rtd", , "ASK_SIZE", A207)</f>
        <v>9</v>
      </c>
      <c r="J207">
        <f>RTD("tos.rtd", , "VOLUME", A207)</f>
        <v>17814792</v>
      </c>
      <c r="K207">
        <f>RTD("tos.rtd", , "OPEN", A207)</f>
        <v>29.34</v>
      </c>
      <c r="L207">
        <f>RTD("tos.rtd", , "HIGH",A207)</f>
        <v>30.14</v>
      </c>
      <c r="M207">
        <f>RTD("tos.rtd", , "LOW", A207)</f>
        <v>28.850100000000001</v>
      </c>
      <c r="N207">
        <f>RTD("tos.rtd", , "52HIGH", A207)</f>
        <v>30.74</v>
      </c>
      <c r="O207">
        <f>RTD("tos.rtd", , "52LOW", A207)</f>
        <v>21.02</v>
      </c>
      <c r="P207">
        <f>RTD("tos.rtd", , "Mark", A207)</f>
        <v>29.38</v>
      </c>
    </row>
    <row r="208" spans="1:16" x14ac:dyDescent="0.25">
      <c r="A208" t="s">
        <v>220</v>
      </c>
      <c r="B208">
        <f>RTD("tos.rtd", , "Last", A208)</f>
        <v>61.45</v>
      </c>
      <c r="C208" t="str">
        <f>RTD("tos.rtd", , "STRENGTH_METER", A208)</f>
        <v>Range Bound</v>
      </c>
      <c r="D208" t="str">
        <f>RTD("tos.rtd", , "QUOTE_TREND", A208)</f>
        <v>instrument=GRMN</v>
      </c>
      <c r="E208">
        <f>RTD("tos.rtd", , "NET_CHANGE", A208)</f>
        <v>0.7</v>
      </c>
      <c r="F208">
        <f>RTD("tos.rtd", , "BID", A208)</f>
        <v>59.59</v>
      </c>
      <c r="G208">
        <f>RTD("tos.rtd", , "ASK", A208)</f>
        <v>64.5</v>
      </c>
      <c r="H208">
        <f>RTD("tos.rtd", , "BID_SIZE", A208)</f>
        <v>2</v>
      </c>
      <c r="I208">
        <f>RTD("tos.rtd", , "ASK_SIZE", A208)</f>
        <v>1</v>
      </c>
      <c r="J208">
        <f>RTD("tos.rtd", , "VOLUME", A208)</f>
        <v>1059725</v>
      </c>
      <c r="K208">
        <f>RTD("tos.rtd", , "OPEN", A208)</f>
        <v>60.68</v>
      </c>
      <c r="L208">
        <f>RTD("tos.rtd", , "HIGH",A208)</f>
        <v>61.75</v>
      </c>
      <c r="M208">
        <f>RTD("tos.rtd", , "LOW", A208)</f>
        <v>60.612499999999997</v>
      </c>
      <c r="N208">
        <f>RTD("tos.rtd", , "52HIGH", A208)</f>
        <v>61.279899999999998</v>
      </c>
      <c r="O208">
        <f>RTD("tos.rtd", , "52LOW", A208)</f>
        <v>47.03</v>
      </c>
      <c r="P208">
        <f>RTD("tos.rtd", , "Mark", A208)</f>
        <v>61.45</v>
      </c>
    </row>
    <row r="209" spans="1:16" x14ac:dyDescent="0.25">
      <c r="A209" t="s">
        <v>221</v>
      </c>
      <c r="B209">
        <f>RTD("tos.rtd", , "Last", A209)</f>
        <v>238.02</v>
      </c>
      <c r="C209" t="str">
        <f>RTD("tos.rtd", , "STRENGTH_METER", A209)</f>
        <v>Range Bound</v>
      </c>
      <c r="D209" t="str">
        <f>RTD("tos.rtd", , "QUOTE_TREND", A209)</f>
        <v>instrument=GS</v>
      </c>
      <c r="E209">
        <f>RTD("tos.rtd", , "NET_CHANGE", A209)</f>
        <v>-1.35</v>
      </c>
      <c r="F209">
        <f>RTD("tos.rtd", , "BID", A209)</f>
        <v>235.17</v>
      </c>
      <c r="G209">
        <f>RTD("tos.rtd", , "ASK", A209)</f>
        <v>238.27</v>
      </c>
      <c r="H209">
        <f>RTD("tos.rtd", , "BID_SIZE", A209)</f>
        <v>1</v>
      </c>
      <c r="I209">
        <f>RTD("tos.rtd", , "ASK_SIZE", A209)</f>
        <v>1</v>
      </c>
      <c r="J209">
        <f>RTD("tos.rtd", , "VOLUME", A209)</f>
        <v>2819469</v>
      </c>
      <c r="K209">
        <f>RTD("tos.rtd", , "OPEN", A209)</f>
        <v>238.86</v>
      </c>
      <c r="L209">
        <f>RTD("tos.rtd", , "HIGH",A209)</f>
        <v>239.08</v>
      </c>
      <c r="M209">
        <f>RTD("tos.rtd", , "LOW", A209)</f>
        <v>237.12</v>
      </c>
      <c r="N209">
        <f>RTD("tos.rtd", , "52HIGH", A209)</f>
        <v>255.15</v>
      </c>
      <c r="O209">
        <f>RTD("tos.rtd", , "52LOW", A209)</f>
        <v>204.83</v>
      </c>
      <c r="P209">
        <f>RTD("tos.rtd", , "Mark", A209)</f>
        <v>238.02</v>
      </c>
    </row>
    <row r="210" spans="1:16" x14ac:dyDescent="0.25">
      <c r="A210" t="s">
        <v>222</v>
      </c>
      <c r="B210">
        <f>RTD("tos.rtd", , "Last", A210)</f>
        <v>29.94</v>
      </c>
      <c r="C210" t="str">
        <f>RTD("tos.rtd", , "STRENGTH_METER", A210)</f>
        <v>Downtrend</v>
      </c>
      <c r="D210" t="str">
        <f>RTD("tos.rtd", , "QUOTE_TREND", A210)</f>
        <v>instrument=GT</v>
      </c>
      <c r="E210">
        <f>RTD("tos.rtd", , "NET_CHANGE", A210)</f>
        <v>0.63</v>
      </c>
      <c r="F210">
        <f>RTD("tos.rtd", , "BID", A210)</f>
        <v>29.9</v>
      </c>
      <c r="G210">
        <f>RTD("tos.rtd", , "ASK", A210)</f>
        <v>30.4</v>
      </c>
      <c r="H210">
        <f>RTD("tos.rtd", , "BID_SIZE", A210)</f>
        <v>1</v>
      </c>
      <c r="I210">
        <f>RTD("tos.rtd", , "ASK_SIZE", A210)</f>
        <v>7</v>
      </c>
      <c r="J210">
        <f>RTD("tos.rtd", , "VOLUME", A210)</f>
        <v>4214758</v>
      </c>
      <c r="K210">
        <f>RTD("tos.rtd", , "OPEN", A210)</f>
        <v>29.48</v>
      </c>
      <c r="L210">
        <f>RTD("tos.rtd", , "HIGH",A210)</f>
        <v>29.995000000000001</v>
      </c>
      <c r="M210">
        <f>RTD("tos.rtd", , "LOW", A210)</f>
        <v>29.45</v>
      </c>
      <c r="N210">
        <f>RTD("tos.rtd", , "52HIGH", A210)</f>
        <v>37.200000000000003</v>
      </c>
      <c r="O210">
        <f>RTD("tos.rtd", , "52LOW", A210)</f>
        <v>28.81</v>
      </c>
      <c r="P210">
        <f>RTD("tos.rtd", , "Mark", A210)</f>
        <v>29.94</v>
      </c>
    </row>
    <row r="211" spans="1:16" x14ac:dyDescent="0.25">
      <c r="A211" t="s">
        <v>223</v>
      </c>
      <c r="B211">
        <f>RTD("tos.rtd", , "Last", A211)</f>
        <v>197.82</v>
      </c>
      <c r="C211" t="str">
        <f>RTD("tos.rtd", , "STRENGTH_METER", A211)</f>
        <v>Range Bound</v>
      </c>
      <c r="D211" t="str">
        <f>RTD("tos.rtd", , "QUOTE_TREND", A211)</f>
        <v>instrument=GWW</v>
      </c>
      <c r="E211">
        <f>RTD("tos.rtd", , "NET_CHANGE", A211)</f>
        <v>-0.68</v>
      </c>
      <c r="F211">
        <f>RTD("tos.rtd", , "BID", A211)</f>
        <v>196</v>
      </c>
      <c r="G211">
        <f>RTD("tos.rtd", , "ASK", A211)</f>
        <v>198.53</v>
      </c>
      <c r="H211">
        <f>RTD("tos.rtd", , "BID_SIZE", A211)</f>
        <v>1</v>
      </c>
      <c r="I211">
        <f>RTD("tos.rtd", , "ASK_SIZE", A211)</f>
        <v>2</v>
      </c>
      <c r="J211">
        <f>RTD("tos.rtd", , "VOLUME", A211)</f>
        <v>588548</v>
      </c>
      <c r="K211">
        <f>RTD("tos.rtd", , "OPEN", A211)</f>
        <v>198.20500000000001</v>
      </c>
      <c r="L211">
        <f>RTD("tos.rtd", , "HIGH",A211)</f>
        <v>200.72</v>
      </c>
      <c r="M211">
        <f>RTD("tos.rtd", , "LOW", A211)</f>
        <v>196.78</v>
      </c>
      <c r="N211">
        <f>RTD("tos.rtd", , "52HIGH", A211)</f>
        <v>262.71499999999997</v>
      </c>
      <c r="O211">
        <f>RTD("tos.rtd", , "52LOW", A211)</f>
        <v>155</v>
      </c>
      <c r="P211">
        <f>RTD("tos.rtd", , "Mark", A211)</f>
        <v>197.82</v>
      </c>
    </row>
    <row r="212" spans="1:16" x14ac:dyDescent="0.25">
      <c r="A212" t="s">
        <v>224</v>
      </c>
      <c r="B212">
        <f>RTD("tos.rtd", , "Last", A212)</f>
        <v>41.77</v>
      </c>
      <c r="C212" t="str">
        <f>RTD("tos.rtd", , "STRENGTH_METER", A212)</f>
        <v>Range Bound</v>
      </c>
      <c r="D212" t="str">
        <f>RTD("tos.rtd", , "QUOTE_TREND", A212)</f>
        <v>instrument=HAL</v>
      </c>
      <c r="E212">
        <f>RTD("tos.rtd", , "NET_CHANGE", A212)</f>
        <v>0.26</v>
      </c>
      <c r="F212">
        <f>RTD("tos.rtd", , "BID", A212)</f>
        <v>41.64</v>
      </c>
      <c r="G212">
        <f>RTD("tos.rtd", , "ASK", A212)</f>
        <v>41.82</v>
      </c>
      <c r="H212">
        <f>RTD("tos.rtd", , "BID_SIZE", A212)</f>
        <v>5</v>
      </c>
      <c r="I212">
        <f>RTD("tos.rtd", , "ASK_SIZE", A212)</f>
        <v>2</v>
      </c>
      <c r="J212">
        <f>RTD("tos.rtd", , "VOLUME", A212)</f>
        <v>5899890</v>
      </c>
      <c r="K212">
        <f>RTD("tos.rtd", , "OPEN", A212)</f>
        <v>41.65</v>
      </c>
      <c r="L212">
        <f>RTD("tos.rtd", , "HIGH",A212)</f>
        <v>41.98</v>
      </c>
      <c r="M212">
        <f>RTD("tos.rtd", , "LOW", A212)</f>
        <v>41.31</v>
      </c>
      <c r="N212">
        <f>RTD("tos.rtd", , "52HIGH", A212)</f>
        <v>58.78</v>
      </c>
      <c r="O212">
        <f>RTD("tos.rtd", , "52LOW", A212)</f>
        <v>38.180999999999997</v>
      </c>
      <c r="P212">
        <f>RTD("tos.rtd", , "Mark", A212)</f>
        <v>41.77</v>
      </c>
    </row>
    <row r="213" spans="1:16" x14ac:dyDescent="0.25">
      <c r="A213" t="s">
        <v>225</v>
      </c>
      <c r="B213">
        <f>RTD("tos.rtd", , "Last", A213)</f>
        <v>111.5</v>
      </c>
      <c r="C213" t="str">
        <f>RTD("tos.rtd", , "STRENGTH_METER", A213)</f>
        <v>N/A</v>
      </c>
      <c r="D213" t="str">
        <f>RTD("tos.rtd", , "QUOTE_TREND", A213)</f>
        <v>instrument=HAR</v>
      </c>
      <c r="E213">
        <f>RTD("tos.rtd", , "NET_CHANGE", A213)</f>
        <v>0</v>
      </c>
      <c r="F213">
        <f>RTD("tos.rtd", , "BID", A213)</f>
        <v>111.97</v>
      </c>
      <c r="G213">
        <f>RTD("tos.rtd", , "ASK", A213)</f>
        <v>129.19</v>
      </c>
      <c r="H213">
        <f>RTD("tos.rtd", , "BID_SIZE", A213)</f>
        <v>0</v>
      </c>
      <c r="I213">
        <f>RTD("tos.rtd", , "ASK_SIZE", A213)</f>
        <v>0</v>
      </c>
      <c r="J213">
        <f>RTD("tos.rtd", , "VOLUME", A213)</f>
        <v>0</v>
      </c>
      <c r="K213">
        <f>RTD("tos.rtd", , "OPEN", A213)</f>
        <v>0</v>
      </c>
      <c r="L213">
        <f>RTD("tos.rtd", , "HIGH",A213)</f>
        <v>0</v>
      </c>
      <c r="M213">
        <f>RTD("tos.rtd", , "LOW", A213)</f>
        <v>0</v>
      </c>
      <c r="N213">
        <f>RTD("tos.rtd", , "52HIGH", A213)</f>
        <v>111.85</v>
      </c>
      <c r="O213">
        <f>RTD("tos.rtd", , "52LOW", A213)</f>
        <v>64.930000000000007</v>
      </c>
      <c r="P213">
        <f>RTD("tos.rtd", , "Mark", A213)</f>
        <v>111.97</v>
      </c>
    </row>
    <row r="214" spans="1:16" x14ac:dyDescent="0.25">
      <c r="A214" t="s">
        <v>226</v>
      </c>
      <c r="B214">
        <f>RTD("tos.rtd", , "Last", A214)</f>
        <v>95.89</v>
      </c>
      <c r="C214" t="str">
        <f>RTD("tos.rtd", , "STRENGTH_METER", A214)</f>
        <v>Range Bound</v>
      </c>
      <c r="D214" t="str">
        <f>RTD("tos.rtd", , "QUOTE_TREND", A214)</f>
        <v>instrument=HAS</v>
      </c>
      <c r="E214">
        <f>RTD("tos.rtd", , "NET_CHANGE", A214)</f>
        <v>-0.01</v>
      </c>
      <c r="F214">
        <f>RTD("tos.rtd", , "BID", A214)</f>
        <v>95.51</v>
      </c>
      <c r="G214">
        <f>RTD("tos.rtd", , "ASK", A214)</f>
        <v>95.89</v>
      </c>
      <c r="H214">
        <f>RTD("tos.rtd", , "BID_SIZE", A214)</f>
        <v>1</v>
      </c>
      <c r="I214">
        <f>RTD("tos.rtd", , "ASK_SIZE", A214)</f>
        <v>3</v>
      </c>
      <c r="J214">
        <f>RTD("tos.rtd", , "VOLUME", A214)</f>
        <v>1064694</v>
      </c>
      <c r="K214">
        <f>RTD("tos.rtd", , "OPEN", A214)</f>
        <v>96.07</v>
      </c>
      <c r="L214">
        <f>RTD("tos.rtd", , "HIGH",A214)</f>
        <v>96.9</v>
      </c>
      <c r="M214">
        <f>RTD("tos.rtd", , "LOW", A214)</f>
        <v>95.7</v>
      </c>
      <c r="N214">
        <f>RTD("tos.rtd", , "52HIGH", A214)</f>
        <v>116.2</v>
      </c>
      <c r="O214">
        <f>RTD("tos.rtd", , "52LOW", A214)</f>
        <v>77.2</v>
      </c>
      <c r="P214">
        <f>RTD("tos.rtd", , "Mark", A214)</f>
        <v>95.89</v>
      </c>
    </row>
    <row r="215" spans="1:16" x14ac:dyDescent="0.25">
      <c r="A215" t="s">
        <v>227</v>
      </c>
      <c r="B215">
        <f>RTD("tos.rtd", , "Last", A215)</f>
        <v>13.54</v>
      </c>
      <c r="C215" t="str">
        <f>RTD("tos.rtd", , "STRENGTH_METER", A215)</f>
        <v>Range Bound</v>
      </c>
      <c r="D215" t="str">
        <f>RTD("tos.rtd", , "QUOTE_TREND", A215)</f>
        <v>instrument=HBAN</v>
      </c>
      <c r="E215">
        <f>RTD("tos.rtd", , "NET_CHANGE", A215)</f>
        <v>0.14000000000000001</v>
      </c>
      <c r="F215">
        <f>RTD("tos.rtd", , "BID", A215)</f>
        <v>13.5</v>
      </c>
      <c r="G215">
        <f>RTD("tos.rtd", , "ASK", A215)</f>
        <v>13.56</v>
      </c>
      <c r="H215">
        <f>RTD("tos.rtd", , "BID_SIZE", A215)</f>
        <v>10</v>
      </c>
      <c r="I215">
        <f>RTD("tos.rtd", , "ASK_SIZE", A215)</f>
        <v>58</v>
      </c>
      <c r="J215">
        <f>RTD("tos.rtd", , "VOLUME", A215)</f>
        <v>6070354</v>
      </c>
      <c r="K215">
        <f>RTD("tos.rtd", , "OPEN", A215)</f>
        <v>13.32</v>
      </c>
      <c r="L215">
        <f>RTD("tos.rtd", , "HIGH",A215)</f>
        <v>13.55</v>
      </c>
      <c r="M215">
        <f>RTD("tos.rtd", , "LOW", A215)</f>
        <v>13.32</v>
      </c>
      <c r="N215">
        <f>RTD("tos.rtd", , "52HIGH", A215)</f>
        <v>14.74</v>
      </c>
      <c r="O215">
        <f>RTD("tos.rtd", , "52LOW", A215)</f>
        <v>11.77</v>
      </c>
      <c r="P215">
        <f>RTD("tos.rtd", , "Mark", A215)</f>
        <v>13.54</v>
      </c>
    </row>
    <row r="216" spans="1:16" x14ac:dyDescent="0.25">
      <c r="A216" t="s">
        <v>228</v>
      </c>
      <c r="B216">
        <f>RTD("tos.rtd", , "Last", A216)</f>
        <v>0</v>
      </c>
      <c r="C216" t="str">
        <f>RTD("tos.rtd", , "STRENGTH_METER", A216)</f>
        <v>N/A</v>
      </c>
      <c r="D216" t="str">
        <f>RTD("tos.rtd", , "QUOTE_TREND", A216)</f>
        <v>instrument=HCBK</v>
      </c>
      <c r="E216">
        <f>RTD("tos.rtd", , "NET_CHANGE", A216)</f>
        <v>0</v>
      </c>
      <c r="F216">
        <f>RTD("tos.rtd", , "BID", A216)</f>
        <v>8.3699999999999992</v>
      </c>
      <c r="G216">
        <f>RTD("tos.rtd", , "ASK", A216)</f>
        <v>12</v>
      </c>
      <c r="H216">
        <f>RTD("tos.rtd", , "BID_SIZE", A216)</f>
        <v>0</v>
      </c>
      <c r="I216">
        <f>RTD("tos.rtd", , "ASK_SIZE", A216)</f>
        <v>0</v>
      </c>
      <c r="J216">
        <f>RTD("tos.rtd", , "VOLUME", A216)</f>
        <v>0</v>
      </c>
      <c r="K216">
        <f>RTD("tos.rtd", , "OPEN", A216)</f>
        <v>0</v>
      </c>
      <c r="L216">
        <f>RTD("tos.rtd", , "HIGH",A216)</f>
        <v>0</v>
      </c>
      <c r="M216">
        <f>RTD("tos.rtd", , "LOW", A216)</f>
        <v>0</v>
      </c>
      <c r="N216">
        <f>RTD("tos.rtd", , "52HIGH", A216)</f>
        <v>0</v>
      </c>
      <c r="O216">
        <f>RTD("tos.rtd", , "52LOW", A216)</f>
        <v>0</v>
      </c>
      <c r="P216">
        <f>RTD("tos.rtd", , "Mark", A216)</f>
        <v>8.3699999999999992</v>
      </c>
    </row>
    <row r="217" spans="1:16" x14ac:dyDescent="0.25">
      <c r="A217" t="s">
        <v>229</v>
      </c>
      <c r="B217">
        <f>RTD("tos.rtd", , "Last", A217)</f>
        <v>67.959999999999994</v>
      </c>
      <c r="C217" t="str">
        <f>RTD("tos.rtd", , "STRENGTH_METER", A217)</f>
        <v>Range Bound</v>
      </c>
      <c r="D217" t="str">
        <f>RTD("tos.rtd", , "QUOTE_TREND", A217)</f>
        <v>instrument=HCN</v>
      </c>
      <c r="E217">
        <f>RTD("tos.rtd", , "NET_CHANGE", A217)</f>
        <v>0.02</v>
      </c>
      <c r="F217">
        <f>RTD("tos.rtd", , "BID", A217)</f>
        <v>67.2</v>
      </c>
      <c r="G217">
        <f>RTD("tos.rtd", , "ASK", A217)</f>
        <v>67.989999999999995</v>
      </c>
      <c r="H217">
        <f>RTD("tos.rtd", , "BID_SIZE", A217)</f>
        <v>2</v>
      </c>
      <c r="I217">
        <f>RTD("tos.rtd", , "ASK_SIZE", A217)</f>
        <v>1</v>
      </c>
      <c r="J217">
        <f>RTD("tos.rtd", , "VOLUME", A217)</f>
        <v>1357857</v>
      </c>
      <c r="K217">
        <f>RTD("tos.rtd", , "OPEN", A217)</f>
        <v>67.790000000000006</v>
      </c>
      <c r="L217">
        <f>RTD("tos.rtd", , "HIGH",A217)</f>
        <v>68.16</v>
      </c>
      <c r="M217">
        <f>RTD("tos.rtd", , "LOW", A217)</f>
        <v>67.790000000000006</v>
      </c>
      <c r="N217">
        <f>RTD("tos.rtd", , "52HIGH", A217)</f>
        <v>78.17</v>
      </c>
      <c r="O217">
        <f>RTD("tos.rtd", , "52LOW", A217)</f>
        <v>61.08</v>
      </c>
      <c r="P217">
        <f>RTD("tos.rtd", , "Mark", A217)</f>
        <v>67.959999999999994</v>
      </c>
    </row>
    <row r="218" spans="1:16" x14ac:dyDescent="0.25">
      <c r="A218" t="s">
        <v>230</v>
      </c>
      <c r="B218">
        <f>RTD("tos.rtd", , "Last", A218)</f>
        <v>26.8</v>
      </c>
      <c r="C218" t="str">
        <f>RTD("tos.rtd", , "STRENGTH_METER", A218)</f>
        <v>Range Bound</v>
      </c>
      <c r="D218" t="str">
        <f>RTD("tos.rtd", , "QUOTE_TREND", A218)</f>
        <v>instrument=HCP</v>
      </c>
      <c r="E218">
        <f>RTD("tos.rtd", , "NET_CHANGE", A218)</f>
        <v>-0.04</v>
      </c>
      <c r="F218">
        <f>RTD("tos.rtd", , "BID", A218)</f>
        <v>26.77</v>
      </c>
      <c r="G218">
        <f>RTD("tos.rtd", , "ASK", A218)</f>
        <v>26.84</v>
      </c>
      <c r="H218">
        <f>RTD("tos.rtd", , "BID_SIZE", A218)</f>
        <v>1</v>
      </c>
      <c r="I218">
        <f>RTD("tos.rtd", , "ASK_SIZE", A218)</f>
        <v>6</v>
      </c>
      <c r="J218">
        <f>RTD("tos.rtd", , "VOLUME", A218)</f>
        <v>2768423</v>
      </c>
      <c r="K218">
        <f>RTD("tos.rtd", , "OPEN", A218)</f>
        <v>26.75</v>
      </c>
      <c r="L218">
        <f>RTD("tos.rtd", , "HIGH",A218)</f>
        <v>26.9</v>
      </c>
      <c r="M218">
        <f>RTD("tos.rtd", , "LOW", A218)</f>
        <v>26.741</v>
      </c>
      <c r="N218">
        <f>RTD("tos.rtd", , "52HIGH", A218)</f>
        <v>33.67</v>
      </c>
      <c r="O218">
        <f>RTD("tos.rtd", , "52LOW", A218)</f>
        <v>25.085000000000001</v>
      </c>
      <c r="P218">
        <f>RTD("tos.rtd", , "Mark", A218)</f>
        <v>26.8</v>
      </c>
    </row>
    <row r="219" spans="1:16" x14ac:dyDescent="0.25">
      <c r="A219" t="s">
        <v>231</v>
      </c>
      <c r="B219">
        <f>RTD("tos.rtd", , "Last", A219)</f>
        <v>167.74</v>
      </c>
      <c r="C219" t="str">
        <f>RTD("tos.rtd", , "STRENGTH_METER", A219)</f>
        <v>Range Bound</v>
      </c>
      <c r="D219" t="str">
        <f>RTD("tos.rtd", , "QUOTE_TREND", A219)</f>
        <v>instrument=HD</v>
      </c>
      <c r="E219">
        <f>RTD("tos.rtd", , "NET_CHANGE", A219)</f>
        <v>0.24</v>
      </c>
      <c r="F219">
        <f>RTD("tos.rtd", , "BID", A219)</f>
        <v>167.16</v>
      </c>
      <c r="G219">
        <f>RTD("tos.rtd", , "ASK", A219)</f>
        <v>167.66</v>
      </c>
      <c r="H219">
        <f>RTD("tos.rtd", , "BID_SIZE", A219)</f>
        <v>5</v>
      </c>
      <c r="I219">
        <f>RTD("tos.rtd", , "ASK_SIZE", A219)</f>
        <v>1</v>
      </c>
      <c r="J219">
        <f>RTD("tos.rtd", , "VOLUME", A219)</f>
        <v>4520817</v>
      </c>
      <c r="K219">
        <f>RTD("tos.rtd", , "OPEN", A219)</f>
        <v>167</v>
      </c>
      <c r="L219">
        <f>RTD("tos.rtd", , "HIGH",A219)</f>
        <v>168.43</v>
      </c>
      <c r="M219">
        <f>RTD("tos.rtd", , "LOW", A219)</f>
        <v>166.06</v>
      </c>
      <c r="N219">
        <f>RTD("tos.rtd", , "52HIGH", A219)</f>
        <v>168.14</v>
      </c>
      <c r="O219">
        <f>RTD("tos.rtd", , "52LOW", A219)</f>
        <v>123.28</v>
      </c>
      <c r="P219">
        <f>RTD("tos.rtd", , "Mark", A219)</f>
        <v>167.66</v>
      </c>
    </row>
    <row r="220" spans="1:16" x14ac:dyDescent="0.25">
      <c r="A220" t="s">
        <v>232</v>
      </c>
      <c r="B220">
        <f>RTD("tos.rtd", , "Last", A220)</f>
        <v>44.55</v>
      </c>
      <c r="C220" t="str">
        <f>RTD("tos.rtd", , "STRENGTH_METER", A220)</f>
        <v>Range Bound</v>
      </c>
      <c r="D220" t="str">
        <f>RTD("tos.rtd", , "QUOTE_TREND", A220)</f>
        <v>instrument=HES</v>
      </c>
      <c r="E220">
        <f>RTD("tos.rtd", , "NET_CHANGE", A220)</f>
        <v>0.46</v>
      </c>
      <c r="F220">
        <f>RTD("tos.rtd", , "BID", A220)</f>
        <v>44.56</v>
      </c>
      <c r="G220">
        <f>RTD("tos.rtd", , "ASK", A220)</f>
        <v>44.98</v>
      </c>
      <c r="H220">
        <f>RTD("tos.rtd", , "BID_SIZE", A220)</f>
        <v>3</v>
      </c>
      <c r="I220">
        <f>RTD("tos.rtd", , "ASK_SIZE", A220)</f>
        <v>1</v>
      </c>
      <c r="J220">
        <f>RTD("tos.rtd", , "VOLUME", A220)</f>
        <v>3948084</v>
      </c>
      <c r="K220">
        <f>RTD("tos.rtd", , "OPEN", A220)</f>
        <v>44.36</v>
      </c>
      <c r="L220">
        <f>RTD("tos.rtd", , "HIGH",A220)</f>
        <v>44.91</v>
      </c>
      <c r="M220">
        <f>RTD("tos.rtd", , "LOW", A220)</f>
        <v>44.21</v>
      </c>
      <c r="N220">
        <f>RTD("tos.rtd", , "52HIGH", A220)</f>
        <v>65.559600000000003</v>
      </c>
      <c r="O220">
        <f>RTD("tos.rtd", , "52LOW", A220)</f>
        <v>37.25</v>
      </c>
      <c r="P220">
        <f>RTD("tos.rtd", , "Mark", A220)</f>
        <v>44.56</v>
      </c>
    </row>
    <row r="221" spans="1:16" x14ac:dyDescent="0.25">
      <c r="A221" t="s">
        <v>233</v>
      </c>
      <c r="B221">
        <f>RTD("tos.rtd", , "Last", A221)</f>
        <v>56.14</v>
      </c>
      <c r="C221" t="str">
        <f>RTD("tos.rtd", , "STRENGTH_METER", A221)</f>
        <v>Range Bound</v>
      </c>
      <c r="D221" t="str">
        <f>RTD("tos.rtd", , "QUOTE_TREND", A221)</f>
        <v>instrument=HIG</v>
      </c>
      <c r="E221">
        <f>RTD("tos.rtd", , "NET_CHANGE", A221)</f>
        <v>0.13</v>
      </c>
      <c r="F221">
        <f>RTD("tos.rtd", , "BID", A221)</f>
        <v>54</v>
      </c>
      <c r="G221">
        <f>RTD("tos.rtd", , "ASK", A221)</f>
        <v>58</v>
      </c>
      <c r="H221">
        <f>RTD("tos.rtd", , "BID_SIZE", A221)</f>
        <v>1</v>
      </c>
      <c r="I221">
        <f>RTD("tos.rtd", , "ASK_SIZE", A221)</f>
        <v>1</v>
      </c>
      <c r="J221">
        <f>RTD("tos.rtd", , "VOLUME", A221)</f>
        <v>1442278</v>
      </c>
      <c r="K221">
        <f>RTD("tos.rtd", , "OPEN", A221)</f>
        <v>55.78</v>
      </c>
      <c r="L221">
        <f>RTD("tos.rtd", , "HIGH",A221)</f>
        <v>56.515000000000001</v>
      </c>
      <c r="M221">
        <f>RTD("tos.rtd", , "LOW", A221)</f>
        <v>55.55</v>
      </c>
      <c r="N221">
        <f>RTD("tos.rtd", , "52HIGH", A221)</f>
        <v>57.159599999999998</v>
      </c>
      <c r="O221">
        <f>RTD("tos.rtd", , "52LOW", A221)</f>
        <v>46.3</v>
      </c>
      <c r="P221">
        <f>RTD("tos.rtd", , "Mark", A221)</f>
        <v>56.14</v>
      </c>
    </row>
    <row r="222" spans="1:16" x14ac:dyDescent="0.25">
      <c r="A222" t="s">
        <v>234</v>
      </c>
      <c r="B222" t="str">
        <f>RTD("tos.rtd", , "Last", A222)</f>
        <v>N/A</v>
      </c>
      <c r="C222" t="str">
        <f>RTD("tos.rtd", , "STRENGTH_METER", A222)</f>
        <v>N/A</v>
      </c>
      <c r="D222" t="str">
        <f>RTD("tos.rtd", , "QUOTE_TREND", A222)</f>
        <v>instrument=HNZ</v>
      </c>
      <c r="E222" t="str">
        <f>RTD("tos.rtd", , "NET_CHANGE", A222)</f>
        <v>N/A</v>
      </c>
      <c r="F222" t="str">
        <f>RTD("tos.rtd", , "BID", A222)</f>
        <v>N/A</v>
      </c>
      <c r="G222" t="str">
        <f>RTD("tos.rtd", , "ASK", A222)</f>
        <v>N/A</v>
      </c>
      <c r="H222">
        <f>RTD("tos.rtd", , "BID_SIZE", A222)</f>
        <v>0</v>
      </c>
      <c r="I222">
        <f>RTD("tos.rtd", , "ASK_SIZE", A222)</f>
        <v>0</v>
      </c>
      <c r="J222" t="str">
        <f>RTD("tos.rtd", , "VOLUME", A222)</f>
        <v>N/A</v>
      </c>
      <c r="K222" t="str">
        <f>RTD("tos.rtd", , "OPEN", A222)</f>
        <v>N/A</v>
      </c>
      <c r="L222" t="str">
        <f>RTD("tos.rtd", , "HIGH",A222)</f>
        <v>N/A</v>
      </c>
      <c r="M222" t="str">
        <f>RTD("tos.rtd", , "LOW", A222)</f>
        <v>N/A</v>
      </c>
      <c r="N222" t="str">
        <f>RTD("tos.rtd", , "52HIGH", A222)</f>
        <v>N/A</v>
      </c>
      <c r="O222" t="str">
        <f>RTD("tos.rtd", , "52LOW", A222)</f>
        <v>N/A</v>
      </c>
      <c r="P222" t="str">
        <f>RTD("tos.rtd", , "Mark", A222)</f>
        <v>N/A</v>
      </c>
    </row>
    <row r="223" spans="1:16" x14ac:dyDescent="0.25">
      <c r="A223" t="s">
        <v>235</v>
      </c>
      <c r="B223">
        <f>RTD("tos.rtd", , "Last", A223)</f>
        <v>47.25</v>
      </c>
      <c r="C223" t="str">
        <f>RTD("tos.rtd", , "STRENGTH_METER", A223)</f>
        <v>Range Bound</v>
      </c>
      <c r="D223" t="str">
        <f>RTD("tos.rtd", , "QUOTE_TREND", A223)</f>
        <v>instrument=HOG</v>
      </c>
      <c r="E223">
        <f>RTD("tos.rtd", , "NET_CHANGE", A223)</f>
        <v>-0.85</v>
      </c>
      <c r="F223">
        <f>RTD("tos.rtd", , "BID", A223)</f>
        <v>46.6</v>
      </c>
      <c r="G223">
        <f>RTD("tos.rtd", , "ASK", A223)</f>
        <v>47.54</v>
      </c>
      <c r="H223">
        <f>RTD("tos.rtd", , "BID_SIZE", A223)</f>
        <v>10</v>
      </c>
      <c r="I223">
        <f>RTD("tos.rtd", , "ASK_SIZE", A223)</f>
        <v>4</v>
      </c>
      <c r="J223">
        <f>RTD("tos.rtd", , "VOLUME", A223)</f>
        <v>3494363</v>
      </c>
      <c r="K223">
        <f>RTD("tos.rtd", , "OPEN", A223)</f>
        <v>47.82</v>
      </c>
      <c r="L223">
        <f>RTD("tos.rtd", , "HIGH",A223)</f>
        <v>47.96</v>
      </c>
      <c r="M223">
        <f>RTD("tos.rtd", , "LOW", A223)</f>
        <v>46.49</v>
      </c>
      <c r="N223">
        <f>RTD("tos.rtd", , "52HIGH", A223)</f>
        <v>63.4</v>
      </c>
      <c r="O223">
        <f>RTD("tos.rtd", , "52LOW", A223)</f>
        <v>44.52</v>
      </c>
      <c r="P223">
        <f>RTD("tos.rtd", , "Mark", A223)</f>
        <v>47.25</v>
      </c>
    </row>
    <row r="224" spans="1:16" x14ac:dyDescent="0.25">
      <c r="A224" t="s">
        <v>236</v>
      </c>
      <c r="B224">
        <f>RTD("tos.rtd", , "Last", A224)</f>
        <v>146.49</v>
      </c>
      <c r="C224" t="str">
        <f>RTD("tos.rtd", , "STRENGTH_METER", A224)</f>
        <v>Range Bound</v>
      </c>
      <c r="D224" t="str">
        <f>RTD("tos.rtd", , "QUOTE_TREND", A224)</f>
        <v>instrument=HON</v>
      </c>
      <c r="E224">
        <f>RTD("tos.rtd", , "NET_CHANGE", A224)</f>
        <v>-0.39</v>
      </c>
      <c r="F224">
        <f>RTD("tos.rtd", , "BID", A224)</f>
        <v>145.5</v>
      </c>
      <c r="G224">
        <f>RTD("tos.rtd", , "ASK", A224)</f>
        <v>147.16999999999999</v>
      </c>
      <c r="H224">
        <f>RTD("tos.rtd", , "BID_SIZE", A224)</f>
        <v>1</v>
      </c>
      <c r="I224">
        <f>RTD("tos.rtd", , "ASK_SIZE", A224)</f>
        <v>1</v>
      </c>
      <c r="J224">
        <f>RTD("tos.rtd", , "VOLUME", A224)</f>
        <v>1633922</v>
      </c>
      <c r="K224">
        <f>RTD("tos.rtd", , "OPEN", A224)</f>
        <v>146.38</v>
      </c>
      <c r="L224">
        <f>RTD("tos.rtd", , "HIGH",A224)</f>
        <v>146.999</v>
      </c>
      <c r="M224">
        <f>RTD("tos.rtd", , "LOW", A224)</f>
        <v>146.19999999999999</v>
      </c>
      <c r="N224">
        <f>RTD("tos.rtd", , "52HIGH", A224)</f>
        <v>147.6</v>
      </c>
      <c r="O224">
        <f>RTD("tos.rtd", , "52LOW", A224)</f>
        <v>111.78</v>
      </c>
      <c r="P224">
        <f>RTD("tos.rtd", , "Mark", A224)</f>
        <v>146.49</v>
      </c>
    </row>
    <row r="225" spans="1:16" x14ac:dyDescent="0.25">
      <c r="A225" t="s">
        <v>237</v>
      </c>
      <c r="B225">
        <f>RTD("tos.rtd", , "Last", A225)</f>
        <v>77.05</v>
      </c>
      <c r="C225" t="str">
        <f>RTD("tos.rtd", , "STRENGTH_METER", A225)</f>
        <v>Range Bound</v>
      </c>
      <c r="D225" t="str">
        <f>RTD("tos.rtd", , "QUOTE_TREND", A225)</f>
        <v>instrument=HOT</v>
      </c>
      <c r="E225">
        <f>RTD("tos.rtd", , "NET_CHANGE", A225)</f>
        <v>0</v>
      </c>
      <c r="F225">
        <f>RTD("tos.rtd", , "BID", A225)</f>
        <v>76.56</v>
      </c>
      <c r="G225">
        <f>RTD("tos.rtd", , "ASK", A225)</f>
        <v>78.95</v>
      </c>
      <c r="H225">
        <f>RTD("tos.rtd", , "BID_SIZE", A225)</f>
        <v>0</v>
      </c>
      <c r="I225">
        <f>RTD("tos.rtd", , "ASK_SIZE", A225)</f>
        <v>0</v>
      </c>
      <c r="J225">
        <f>RTD("tos.rtd", , "VOLUME", A225)</f>
        <v>0</v>
      </c>
      <c r="K225">
        <f>RTD("tos.rtd", , "OPEN", A225)</f>
        <v>0</v>
      </c>
      <c r="L225">
        <f>RTD("tos.rtd", , "HIGH",A225)</f>
        <v>0</v>
      </c>
      <c r="M225">
        <f>RTD("tos.rtd", , "LOW", A225)</f>
        <v>0</v>
      </c>
      <c r="N225">
        <f>RTD("tos.rtd", , "52HIGH", A225)</f>
        <v>84.37</v>
      </c>
      <c r="O225">
        <f>RTD("tos.rtd", , "52LOW", A225)</f>
        <v>56.87</v>
      </c>
      <c r="P225">
        <f>RTD("tos.rtd", , "Mark", A225)</f>
        <v>77.05</v>
      </c>
    </row>
    <row r="226" spans="1:16" x14ac:dyDescent="0.25">
      <c r="A226" t="s">
        <v>238</v>
      </c>
      <c r="B226">
        <f>RTD("tos.rtd", , "Last", A226)</f>
        <v>55.68</v>
      </c>
      <c r="C226" t="str">
        <f>RTD("tos.rtd", , "STRENGTH_METER", A226)</f>
        <v>Range Bound</v>
      </c>
      <c r="D226" t="str">
        <f>RTD("tos.rtd", , "QUOTE_TREND", A226)</f>
        <v>instrument=HP</v>
      </c>
      <c r="E226">
        <f>RTD("tos.rtd", , "NET_CHANGE", A226)</f>
        <v>1.31</v>
      </c>
      <c r="F226">
        <f>RTD("tos.rtd", , "BID", A226)</f>
        <v>52.61</v>
      </c>
      <c r="G226">
        <f>RTD("tos.rtd", , "ASK", A226)</f>
        <v>55.68</v>
      </c>
      <c r="H226">
        <f>RTD("tos.rtd", , "BID_SIZE", A226)</f>
        <v>1</v>
      </c>
      <c r="I226">
        <f>RTD("tos.rtd", , "ASK_SIZE", A226)</f>
        <v>1</v>
      </c>
      <c r="J226">
        <f>RTD("tos.rtd", , "VOLUME", A226)</f>
        <v>1783510</v>
      </c>
      <c r="K226">
        <f>RTD("tos.rtd", , "OPEN", A226)</f>
        <v>55.17</v>
      </c>
      <c r="L226">
        <f>RTD("tos.rtd", , "HIGH",A226)</f>
        <v>56</v>
      </c>
      <c r="M226">
        <f>RTD("tos.rtd", , "LOW", A226)</f>
        <v>54.91</v>
      </c>
      <c r="N226">
        <f>RTD("tos.rtd", , "52HIGH", A226)</f>
        <v>85.78</v>
      </c>
      <c r="O226">
        <f>RTD("tos.rtd", , "52LOW", A226)</f>
        <v>42.16</v>
      </c>
      <c r="P226">
        <f>RTD("tos.rtd", , "Mark", A226)</f>
        <v>55.68</v>
      </c>
    </row>
    <row r="227" spans="1:16" x14ac:dyDescent="0.25">
      <c r="A227" t="s">
        <v>239</v>
      </c>
      <c r="B227">
        <f>RTD("tos.rtd", , "Last", A227)</f>
        <v>21.75</v>
      </c>
      <c r="C227" t="str">
        <f>RTD("tos.rtd", , "STRENGTH_METER", A227)</f>
        <v>Range Bound</v>
      </c>
      <c r="D227" t="str">
        <f>RTD("tos.rtd", , "QUOTE_TREND", A227)</f>
        <v>instrument=HPQ</v>
      </c>
      <c r="E227">
        <f>RTD("tos.rtd", , "NET_CHANGE", A227)</f>
        <v>0.18</v>
      </c>
      <c r="F227">
        <f>RTD("tos.rtd", , "BID", A227)</f>
        <v>21.69</v>
      </c>
      <c r="G227">
        <f>RTD("tos.rtd", , "ASK", A227)</f>
        <v>21.76</v>
      </c>
      <c r="H227">
        <f>RTD("tos.rtd", , "BID_SIZE", A227)</f>
        <v>7</v>
      </c>
      <c r="I227">
        <f>RTD("tos.rtd", , "ASK_SIZE", A227)</f>
        <v>2</v>
      </c>
      <c r="J227">
        <f>RTD("tos.rtd", , "VOLUME", A227)</f>
        <v>10633431</v>
      </c>
      <c r="K227">
        <f>RTD("tos.rtd", , "OPEN", A227)</f>
        <v>21.51</v>
      </c>
      <c r="L227">
        <f>RTD("tos.rtd", , "HIGH",A227)</f>
        <v>21.87</v>
      </c>
      <c r="M227">
        <f>RTD("tos.rtd", , "LOW", A227)</f>
        <v>21.450199999999999</v>
      </c>
      <c r="N227">
        <f>RTD("tos.rtd", , "52HIGH", A227)</f>
        <v>22.305900000000001</v>
      </c>
      <c r="O227">
        <f>RTD("tos.rtd", , "52LOW", A227)</f>
        <v>14.4</v>
      </c>
      <c r="P227">
        <f>RTD("tos.rtd", , "Mark", A227)</f>
        <v>21.75</v>
      </c>
    </row>
    <row r="228" spans="1:16" x14ac:dyDescent="0.25">
      <c r="A228" t="s">
        <v>240</v>
      </c>
      <c r="B228">
        <f>RTD("tos.rtd", , "Last", A228)</f>
        <v>26.09</v>
      </c>
      <c r="C228" t="str">
        <f>RTD("tos.rtd", , "STRENGTH_METER", A228)</f>
        <v>Range Bound</v>
      </c>
      <c r="D228" t="str">
        <f>RTD("tos.rtd", , "QUOTE_TREND", A228)</f>
        <v>instrument=HRB</v>
      </c>
      <c r="E228">
        <f>RTD("tos.rtd", , "NET_CHANGE", A228)</f>
        <v>0.21</v>
      </c>
      <c r="F228">
        <f>RTD("tos.rtd", , "BID", A228)</f>
        <v>25.64</v>
      </c>
      <c r="G228">
        <f>RTD("tos.rtd", , "ASK", A228)</f>
        <v>26.15</v>
      </c>
      <c r="H228">
        <f>RTD("tos.rtd", , "BID_SIZE", A228)</f>
        <v>1</v>
      </c>
      <c r="I228">
        <f>RTD("tos.rtd", , "ASK_SIZE", A228)</f>
        <v>3</v>
      </c>
      <c r="J228">
        <f>RTD("tos.rtd", , "VOLUME", A228)</f>
        <v>3111131</v>
      </c>
      <c r="K228">
        <f>RTD("tos.rtd", , "OPEN", A228)</f>
        <v>25.76</v>
      </c>
      <c r="L228">
        <f>RTD("tos.rtd", , "HIGH",A228)</f>
        <v>26.199200000000001</v>
      </c>
      <c r="M228">
        <f>RTD("tos.rtd", , "LOW", A228)</f>
        <v>25.64</v>
      </c>
      <c r="N228">
        <f>RTD("tos.rtd", , "52HIGH", A228)</f>
        <v>31.8</v>
      </c>
      <c r="O228">
        <f>RTD("tos.rtd", , "52LOW", A228)</f>
        <v>19.850000000000001</v>
      </c>
      <c r="P228">
        <f>RTD("tos.rtd", , "Mark", A228)</f>
        <v>26.09</v>
      </c>
    </row>
    <row r="229" spans="1:16" x14ac:dyDescent="0.25">
      <c r="A229" t="s">
        <v>241</v>
      </c>
      <c r="B229">
        <f>RTD("tos.rtd", , "Last", A229)</f>
        <v>33.119999999999997</v>
      </c>
      <c r="C229" t="str">
        <f>RTD("tos.rtd", , "STRENGTH_METER", A229)</f>
        <v>Range Bound</v>
      </c>
      <c r="D229" t="str">
        <f>RTD("tos.rtd", , "QUOTE_TREND", A229)</f>
        <v>instrument=HRL</v>
      </c>
      <c r="E229">
        <f>RTD("tos.rtd", , "NET_CHANGE", A229)</f>
        <v>0.19</v>
      </c>
      <c r="F229">
        <f>RTD("tos.rtd", , "BID", A229)</f>
        <v>31</v>
      </c>
      <c r="G229">
        <f>RTD("tos.rtd", , "ASK", A229)</f>
        <v>33.35</v>
      </c>
      <c r="H229">
        <f>RTD("tos.rtd", , "BID_SIZE", A229)</f>
        <v>3</v>
      </c>
      <c r="I229">
        <f>RTD("tos.rtd", , "ASK_SIZE", A229)</f>
        <v>14</v>
      </c>
      <c r="J229">
        <f>RTD("tos.rtd", , "VOLUME", A229)</f>
        <v>1986583</v>
      </c>
      <c r="K229">
        <f>RTD("tos.rtd", , "OPEN", A229)</f>
        <v>32.86</v>
      </c>
      <c r="L229">
        <f>RTD("tos.rtd", , "HIGH",A229)</f>
        <v>33.26</v>
      </c>
      <c r="M229">
        <f>RTD("tos.rtd", , "LOW", A229)</f>
        <v>32.83</v>
      </c>
      <c r="N229">
        <f>RTD("tos.rtd", , "52HIGH", A229)</f>
        <v>37.97</v>
      </c>
      <c r="O229">
        <f>RTD("tos.rtd", , "52LOW", A229)</f>
        <v>29.75</v>
      </c>
      <c r="P229">
        <f>RTD("tos.rtd", , "Mark", A229)</f>
        <v>33.119999999999997</v>
      </c>
    </row>
    <row r="230" spans="1:16" x14ac:dyDescent="0.25">
      <c r="A230" t="s">
        <v>242</v>
      </c>
      <c r="B230">
        <f>RTD("tos.rtd", , "Last", A230)</f>
        <v>139.84</v>
      </c>
      <c r="C230" t="str">
        <f>RTD("tos.rtd", , "STRENGTH_METER", A230)</f>
        <v>Range Bound</v>
      </c>
      <c r="D230" t="str">
        <f>RTD("tos.rtd", , "QUOTE_TREND", A230)</f>
        <v>instrument=HRS</v>
      </c>
      <c r="E230">
        <f>RTD("tos.rtd", , "NET_CHANGE", A230)</f>
        <v>-0.51</v>
      </c>
      <c r="F230">
        <f>RTD("tos.rtd", , "BID", A230)</f>
        <v>131.87</v>
      </c>
      <c r="G230">
        <f>RTD("tos.rtd", , "ASK", A230)</f>
        <v>147.79</v>
      </c>
      <c r="H230">
        <f>RTD("tos.rtd", , "BID_SIZE", A230)</f>
        <v>1</v>
      </c>
      <c r="I230">
        <f>RTD("tos.rtd", , "ASK_SIZE", A230)</f>
        <v>1</v>
      </c>
      <c r="J230">
        <f>RTD("tos.rtd", , "VOLUME", A230)</f>
        <v>610724</v>
      </c>
      <c r="K230">
        <f>RTD("tos.rtd", , "OPEN", A230)</f>
        <v>140.09</v>
      </c>
      <c r="L230">
        <f>RTD("tos.rtd", , "HIGH",A230)</f>
        <v>141.12</v>
      </c>
      <c r="M230">
        <f>RTD("tos.rtd", , "LOW", A230)</f>
        <v>139.72999999999999</v>
      </c>
      <c r="N230">
        <f>RTD("tos.rtd", , "52HIGH", A230)</f>
        <v>141.97</v>
      </c>
      <c r="O230">
        <f>RTD("tos.rtd", , "52LOW", A230)</f>
        <v>99.13</v>
      </c>
      <c r="P230">
        <f>RTD("tos.rtd", , "Mark", A230)</f>
        <v>139.84</v>
      </c>
    </row>
    <row r="231" spans="1:16" x14ac:dyDescent="0.25">
      <c r="A231" t="s">
        <v>243</v>
      </c>
      <c r="B231">
        <f>RTD("tos.rtd", , "Last", A231)</f>
        <v>0</v>
      </c>
      <c r="C231" t="str">
        <f>RTD("tos.rtd", , "STRENGTH_METER", A231)</f>
        <v>N/A</v>
      </c>
      <c r="D231" t="str">
        <f>RTD("tos.rtd", , "QUOTE_TREND", A231)</f>
        <v>instrument=HSP</v>
      </c>
      <c r="E231">
        <f>RTD("tos.rtd", , "NET_CHANGE", A231)</f>
        <v>0</v>
      </c>
      <c r="F231">
        <f>RTD("tos.rtd", , "BID", A231)</f>
        <v>102.09</v>
      </c>
      <c r="G231">
        <f>RTD("tos.rtd", , "ASK", A231)</f>
        <v>148.47999999999999</v>
      </c>
      <c r="H231">
        <f>RTD("tos.rtd", , "BID_SIZE", A231)</f>
        <v>0</v>
      </c>
      <c r="I231">
        <f>RTD("tos.rtd", , "ASK_SIZE", A231)</f>
        <v>0</v>
      </c>
      <c r="J231">
        <f>RTD("tos.rtd", , "VOLUME", A231)</f>
        <v>0</v>
      </c>
      <c r="K231">
        <f>RTD("tos.rtd", , "OPEN", A231)</f>
        <v>0</v>
      </c>
      <c r="L231">
        <f>RTD("tos.rtd", , "HIGH",A231)</f>
        <v>0</v>
      </c>
      <c r="M231">
        <f>RTD("tos.rtd", , "LOW", A231)</f>
        <v>0</v>
      </c>
      <c r="N231">
        <f>RTD("tos.rtd", , "52HIGH", A231)</f>
        <v>0</v>
      </c>
      <c r="O231">
        <f>RTD("tos.rtd", , "52LOW", A231)</f>
        <v>0</v>
      </c>
      <c r="P231">
        <f>RTD("tos.rtd", , "Mark", A231)</f>
        <v>102.09</v>
      </c>
    </row>
    <row r="232" spans="1:16" x14ac:dyDescent="0.25">
      <c r="A232" t="s">
        <v>244</v>
      </c>
      <c r="B232">
        <f>RTD("tos.rtd", , "Last", A232)</f>
        <v>19.89</v>
      </c>
      <c r="C232" t="str">
        <f>RTD("tos.rtd", , "STRENGTH_METER", A232)</f>
        <v>Range Bound</v>
      </c>
      <c r="D232" t="str">
        <f>RTD("tos.rtd", , "QUOTE_TREND", A232)</f>
        <v>instrument=HST</v>
      </c>
      <c r="E232">
        <f>RTD("tos.rtd", , "NET_CHANGE", A232)</f>
        <v>-0.08</v>
      </c>
      <c r="F232">
        <f>RTD("tos.rtd", , "BID", A232)</f>
        <v>19.850000000000001</v>
      </c>
      <c r="G232">
        <f>RTD("tos.rtd", , "ASK", A232)</f>
        <v>19.91</v>
      </c>
      <c r="H232">
        <f>RTD("tos.rtd", , "BID_SIZE", A232)</f>
        <v>7</v>
      </c>
      <c r="I232">
        <f>RTD("tos.rtd", , "ASK_SIZE", A232)</f>
        <v>8</v>
      </c>
      <c r="J232">
        <f>RTD("tos.rtd", , "VOLUME", A232)</f>
        <v>4334365</v>
      </c>
      <c r="K232">
        <f>RTD("tos.rtd", , "OPEN", A232)</f>
        <v>19.82</v>
      </c>
      <c r="L232">
        <f>RTD("tos.rtd", , "HIGH",A232)</f>
        <v>20.02</v>
      </c>
      <c r="M232">
        <f>RTD("tos.rtd", , "LOW", A232)</f>
        <v>19.82</v>
      </c>
      <c r="N232">
        <f>RTD("tos.rtd", , "52HIGH", A232)</f>
        <v>20.23</v>
      </c>
      <c r="O232">
        <f>RTD("tos.rtd", , "52LOW", A232)</f>
        <v>16.399999999999999</v>
      </c>
      <c r="P232">
        <f>RTD("tos.rtd", , "Mark", A232)</f>
        <v>19.89</v>
      </c>
    </row>
    <row r="233" spans="1:16" x14ac:dyDescent="0.25">
      <c r="A233" t="s">
        <v>245</v>
      </c>
      <c r="B233">
        <f>RTD("tos.rtd", , "Last", A233)</f>
        <v>109.1</v>
      </c>
      <c r="C233" t="str">
        <f>RTD("tos.rtd", , "STRENGTH_METER", A233)</f>
        <v>Range Bound</v>
      </c>
      <c r="D233" t="str">
        <f>RTD("tos.rtd", , "QUOTE_TREND", A233)</f>
        <v>instrument=HSY</v>
      </c>
      <c r="E233">
        <f>RTD("tos.rtd", , "NET_CHANGE", A233)</f>
        <v>-0.6</v>
      </c>
      <c r="F233">
        <f>RTD("tos.rtd", , "BID", A233)</f>
        <v>106</v>
      </c>
      <c r="G233">
        <f>RTD("tos.rtd", , "ASK", A233)</f>
        <v>109.09</v>
      </c>
      <c r="H233">
        <f>RTD("tos.rtd", , "BID_SIZE", A233)</f>
        <v>8</v>
      </c>
      <c r="I233">
        <f>RTD("tos.rtd", , "ASK_SIZE", A233)</f>
        <v>3</v>
      </c>
      <c r="J233">
        <f>RTD("tos.rtd", , "VOLUME", A233)</f>
        <v>1982732</v>
      </c>
      <c r="K233">
        <f>RTD("tos.rtd", , "OPEN", A233)</f>
        <v>109.28</v>
      </c>
      <c r="L233">
        <f>RTD("tos.rtd", , "HIGH",A233)</f>
        <v>110.64</v>
      </c>
      <c r="M233">
        <f>RTD("tos.rtd", , "LOW", A233)</f>
        <v>108.98</v>
      </c>
      <c r="N233">
        <f>RTD("tos.rtd", , "52HIGH", A233)</f>
        <v>116.49</v>
      </c>
      <c r="O233">
        <f>RTD("tos.rtd", , "52LOW", A233)</f>
        <v>95.68</v>
      </c>
      <c r="P233">
        <f>RTD("tos.rtd", , "Mark", A233)</f>
        <v>109.09</v>
      </c>
    </row>
    <row r="234" spans="1:16" x14ac:dyDescent="0.25">
      <c r="A234" t="s">
        <v>246</v>
      </c>
      <c r="B234">
        <f>RTD("tos.rtd", , "Last", A234)</f>
        <v>233.46</v>
      </c>
      <c r="C234" t="str">
        <f>RTD("tos.rtd", , "STRENGTH_METER", A234)</f>
        <v>Range Bound</v>
      </c>
      <c r="D234" t="str">
        <f>RTD("tos.rtd", , "QUOTE_TREND", A234)</f>
        <v>instrument=HUM</v>
      </c>
      <c r="E234">
        <f>RTD("tos.rtd", , "NET_CHANGE", A234)</f>
        <v>-2.4500000000000002</v>
      </c>
      <c r="F234">
        <f>RTD("tos.rtd", , "BID", A234)</f>
        <v>232</v>
      </c>
      <c r="G234">
        <f>RTD("tos.rtd", , "ASK", A234)</f>
        <v>242.73</v>
      </c>
      <c r="H234">
        <f>RTD("tos.rtd", , "BID_SIZE", A234)</f>
        <v>3</v>
      </c>
      <c r="I234">
        <f>RTD("tos.rtd", , "ASK_SIZE", A234)</f>
        <v>1</v>
      </c>
      <c r="J234">
        <f>RTD("tos.rtd", , "VOLUME", A234)</f>
        <v>1032470</v>
      </c>
      <c r="K234">
        <f>RTD("tos.rtd", , "OPEN", A234)</f>
        <v>234.88</v>
      </c>
      <c r="L234">
        <f>RTD("tos.rtd", , "HIGH",A234)</f>
        <v>237.69</v>
      </c>
      <c r="M234">
        <f>RTD("tos.rtd", , "LOW", A234)</f>
        <v>233.28</v>
      </c>
      <c r="N234">
        <f>RTD("tos.rtd", , "52HIGH", A234)</f>
        <v>264.56</v>
      </c>
      <c r="O234">
        <f>RTD("tos.rtd", , "52LOW", A234)</f>
        <v>186.25</v>
      </c>
      <c r="P234">
        <f>RTD("tos.rtd", , "Mark", A234)</f>
        <v>233.46</v>
      </c>
    </row>
    <row r="235" spans="1:16" x14ac:dyDescent="0.25">
      <c r="A235" t="s">
        <v>247</v>
      </c>
      <c r="B235">
        <f>RTD("tos.rtd", , "Last", A235)</f>
        <v>148.97</v>
      </c>
      <c r="C235" t="str">
        <f>RTD("tos.rtd", , "STRENGTH_METER", A235)</f>
        <v>Range Bound</v>
      </c>
      <c r="D235" t="str">
        <f>RTD("tos.rtd", , "QUOTE_TREND", A235)</f>
        <v>instrument=IBM</v>
      </c>
      <c r="E235">
        <f>RTD("tos.rtd", , "NET_CHANGE", A235)</f>
        <v>-0.15</v>
      </c>
      <c r="F235">
        <f>RTD("tos.rtd", , "BID", A235)</f>
        <v>148.97</v>
      </c>
      <c r="G235">
        <f>RTD("tos.rtd", , "ASK", A235)</f>
        <v>149.25</v>
      </c>
      <c r="H235">
        <f>RTD("tos.rtd", , "BID_SIZE", A235)</f>
        <v>1</v>
      </c>
      <c r="I235">
        <f>RTD("tos.rtd", , "ASK_SIZE", A235)</f>
        <v>7</v>
      </c>
      <c r="J235">
        <f>RTD("tos.rtd", , "VOLUME", A235)</f>
        <v>4867073</v>
      </c>
      <c r="K235">
        <f>RTD("tos.rtd", , "OPEN", A235)</f>
        <v>149.34</v>
      </c>
      <c r="L235">
        <f>RTD("tos.rtd", , "HIGH",A235)</f>
        <v>150.15</v>
      </c>
      <c r="M235">
        <f>RTD("tos.rtd", , "LOW", A235)</f>
        <v>148.83000000000001</v>
      </c>
      <c r="N235">
        <f>RTD("tos.rtd", , "52HIGH", A235)</f>
        <v>182.79</v>
      </c>
      <c r="O235">
        <f>RTD("tos.rtd", , "52LOW", A235)</f>
        <v>139.13</v>
      </c>
      <c r="P235">
        <f>RTD("tos.rtd", , "Mark", A235)</f>
        <v>148.97</v>
      </c>
    </row>
    <row r="236" spans="1:16" x14ac:dyDescent="0.25">
      <c r="A236" t="s">
        <v>248</v>
      </c>
      <c r="B236">
        <f>RTD("tos.rtd", , "Last", A236)</f>
        <v>66.59</v>
      </c>
      <c r="C236" t="str">
        <f>RTD("tos.rtd", , "STRENGTH_METER", A236)</f>
        <v>Range Bound</v>
      </c>
      <c r="D236" t="str">
        <f>RTD("tos.rtd", , "QUOTE_TREND", A236)</f>
        <v>instrument=ICE</v>
      </c>
      <c r="E236">
        <f>RTD("tos.rtd", , "NET_CHANGE", A236)</f>
        <v>0.51</v>
      </c>
      <c r="F236">
        <f>RTD("tos.rtd", , "BID", A236)</f>
        <v>65.180000000000007</v>
      </c>
      <c r="G236">
        <f>RTD("tos.rtd", , "ASK", A236)</f>
        <v>66.64</v>
      </c>
      <c r="H236">
        <f>RTD("tos.rtd", , "BID_SIZE", A236)</f>
        <v>3</v>
      </c>
      <c r="I236">
        <f>RTD("tos.rtd", , "ASK_SIZE", A236)</f>
        <v>3</v>
      </c>
      <c r="J236">
        <f>RTD("tos.rtd", , "VOLUME", A236)</f>
        <v>2809872</v>
      </c>
      <c r="K236">
        <f>RTD("tos.rtd", , "OPEN", A236)</f>
        <v>66.08</v>
      </c>
      <c r="L236">
        <f>RTD("tos.rtd", , "HIGH",A236)</f>
        <v>66.75</v>
      </c>
      <c r="M236">
        <f>RTD("tos.rtd", , "LOW", A236)</f>
        <v>65.97</v>
      </c>
      <c r="N236">
        <f>RTD("tos.rtd", , "52HIGH", A236)</f>
        <v>71.239999999999995</v>
      </c>
      <c r="O236">
        <f>RTD("tos.rtd", , "52LOW", A236)</f>
        <v>53.91</v>
      </c>
      <c r="P236">
        <f>RTD("tos.rtd", , "Mark", A236)</f>
        <v>66.59</v>
      </c>
    </row>
    <row r="237" spans="1:16" x14ac:dyDescent="0.25">
      <c r="A237" t="s">
        <v>249</v>
      </c>
      <c r="B237">
        <f>RTD("tos.rtd", , "Last", A237)</f>
        <v>148.75</v>
      </c>
      <c r="C237" t="str">
        <f>RTD("tos.rtd", , "STRENGTH_METER", A237)</f>
        <v>Range Bound</v>
      </c>
      <c r="D237" t="str">
        <f>RTD("tos.rtd", , "QUOTE_TREND", A237)</f>
        <v>instrument=IFF</v>
      </c>
      <c r="E237">
        <f>RTD("tos.rtd", , "NET_CHANGE", A237)</f>
        <v>0.16</v>
      </c>
      <c r="F237">
        <f>RTD("tos.rtd", , "BID", A237)</f>
        <v>140.79</v>
      </c>
      <c r="G237">
        <f>RTD("tos.rtd", , "ASK", A237)</f>
        <v>156.74</v>
      </c>
      <c r="H237">
        <f>RTD("tos.rtd", , "BID_SIZE", A237)</f>
        <v>1</v>
      </c>
      <c r="I237">
        <f>RTD("tos.rtd", , "ASK_SIZE", A237)</f>
        <v>1</v>
      </c>
      <c r="J237">
        <f>RTD("tos.rtd", , "VOLUME", A237)</f>
        <v>208130</v>
      </c>
      <c r="K237">
        <f>RTD("tos.rtd", , "OPEN", A237)</f>
        <v>148.04</v>
      </c>
      <c r="L237">
        <f>RTD("tos.rtd", , "HIGH",A237)</f>
        <v>148.94999999999999</v>
      </c>
      <c r="M237">
        <f>RTD("tos.rtd", , "LOW", A237)</f>
        <v>147.51</v>
      </c>
      <c r="N237">
        <f>RTD("tos.rtd", , "52HIGH", A237)</f>
        <v>153.9699</v>
      </c>
      <c r="O237">
        <f>RTD("tos.rtd", , "52LOW", A237)</f>
        <v>113.16</v>
      </c>
      <c r="P237">
        <f>RTD("tos.rtd", , "Mark", A237)</f>
        <v>148.75</v>
      </c>
    </row>
    <row r="238" spans="1:16" x14ac:dyDescent="0.25">
      <c r="A238" t="s">
        <v>250</v>
      </c>
      <c r="B238">
        <f>RTD("tos.rtd", , "Last", A238)</f>
        <v>28.54</v>
      </c>
      <c r="C238" t="str">
        <f>RTD("tos.rtd", , "STRENGTH_METER", A238)</f>
        <v>Uptrend</v>
      </c>
      <c r="D238" t="str">
        <f>RTD("tos.rtd", , "QUOTE_TREND", A238)</f>
        <v>instrument=IGT</v>
      </c>
      <c r="E238">
        <f>RTD("tos.rtd", , "NET_CHANGE", A238)</f>
        <v>-0.26</v>
      </c>
      <c r="F238">
        <f>RTD("tos.rtd", , "BID", A238)</f>
        <v>27.11</v>
      </c>
      <c r="G238">
        <f>RTD("tos.rtd", , "ASK", A238)</f>
        <v>28.54</v>
      </c>
      <c r="H238">
        <f>RTD("tos.rtd", , "BID_SIZE", A238)</f>
        <v>10</v>
      </c>
      <c r="I238">
        <f>RTD("tos.rtd", , "ASK_SIZE", A238)</f>
        <v>1</v>
      </c>
      <c r="J238">
        <f>RTD("tos.rtd", , "VOLUME", A238)</f>
        <v>2087834</v>
      </c>
      <c r="K238">
        <f>RTD("tos.rtd", , "OPEN", A238)</f>
        <v>28.72</v>
      </c>
      <c r="L238">
        <f>RTD("tos.rtd", , "HIGH",A238)</f>
        <v>29.36</v>
      </c>
      <c r="M238">
        <f>RTD("tos.rtd", , "LOW", A238)</f>
        <v>28.54</v>
      </c>
      <c r="N238">
        <f>RTD("tos.rtd", , "52HIGH", A238)</f>
        <v>32.07</v>
      </c>
      <c r="O238">
        <f>RTD("tos.rtd", , "52LOW", A238)</f>
        <v>17.25</v>
      </c>
      <c r="P238">
        <f>RTD("tos.rtd", , "Mark", A238)</f>
        <v>28.54</v>
      </c>
    </row>
    <row r="239" spans="1:16" x14ac:dyDescent="0.25">
      <c r="A239" t="s">
        <v>251</v>
      </c>
      <c r="B239">
        <f>RTD("tos.rtd", , "Last", A239)</f>
        <v>44.63</v>
      </c>
      <c r="C239" t="str">
        <f>RTD("tos.rtd", , "STRENGTH_METER", A239)</f>
        <v>Range Bound</v>
      </c>
      <c r="D239" t="str">
        <f>RTD("tos.rtd", , "QUOTE_TREND", A239)</f>
        <v>instrument=INTC</v>
      </c>
      <c r="E239">
        <f>RTD("tos.rtd", , "NET_CHANGE", A239)</f>
        <v>-1.02</v>
      </c>
      <c r="F239">
        <f>RTD("tos.rtd", , "BID", A239)</f>
        <v>44.63</v>
      </c>
      <c r="G239">
        <f>RTD("tos.rtd", , "ASK", A239)</f>
        <v>44.69</v>
      </c>
      <c r="H239">
        <f>RTD("tos.rtd", , "BID_SIZE", A239)</f>
        <v>30</v>
      </c>
      <c r="I239">
        <f>RTD("tos.rtd", , "ASK_SIZE", A239)</f>
        <v>10</v>
      </c>
      <c r="J239">
        <f>RTD("tos.rtd", , "VOLUME", A239)</f>
        <v>63119594</v>
      </c>
      <c r="K239">
        <f>RTD("tos.rtd", , "OPEN", A239)</f>
        <v>45.5</v>
      </c>
      <c r="L239">
        <f>RTD("tos.rtd", , "HIGH",A239)</f>
        <v>45.62</v>
      </c>
      <c r="M239">
        <f>RTD("tos.rtd", , "LOW", A239)</f>
        <v>44.62</v>
      </c>
      <c r="N239">
        <f>RTD("tos.rtd", , "52HIGH", A239)</f>
        <v>47.3</v>
      </c>
      <c r="O239">
        <f>RTD("tos.rtd", , "52LOW", A239)</f>
        <v>33.229999999999997</v>
      </c>
      <c r="P239">
        <f>RTD("tos.rtd", , "Mark", A239)</f>
        <v>44.63</v>
      </c>
    </row>
    <row r="240" spans="1:16" x14ac:dyDescent="0.25">
      <c r="A240" t="s">
        <v>252</v>
      </c>
      <c r="B240">
        <f>RTD("tos.rtd", , "Last", A240)</f>
        <v>156.55000000000001</v>
      </c>
      <c r="C240" t="str">
        <f>RTD("tos.rtd", , "STRENGTH_METER", A240)</f>
        <v>Range Bound</v>
      </c>
      <c r="D240" t="str">
        <f>RTD("tos.rtd", , "QUOTE_TREND", A240)</f>
        <v>instrument=INTU</v>
      </c>
      <c r="E240">
        <f>RTD("tos.rtd", , "NET_CHANGE", A240)</f>
        <v>0.9</v>
      </c>
      <c r="F240">
        <f>RTD("tos.rtd", , "BID", A240)</f>
        <v>156.6</v>
      </c>
      <c r="G240">
        <f>RTD("tos.rtd", , "ASK", A240)</f>
        <v>156.69</v>
      </c>
      <c r="H240">
        <f>RTD("tos.rtd", , "BID_SIZE", A240)</f>
        <v>4</v>
      </c>
      <c r="I240">
        <f>RTD("tos.rtd", , "ASK_SIZE", A240)</f>
        <v>3</v>
      </c>
      <c r="J240">
        <f>RTD("tos.rtd", , "VOLUME", A240)</f>
        <v>1244673</v>
      </c>
      <c r="K240">
        <f>RTD("tos.rtd", , "OPEN", A240)</f>
        <v>155.99</v>
      </c>
      <c r="L240">
        <f>RTD("tos.rtd", , "HIGH",A240)</f>
        <v>156.709</v>
      </c>
      <c r="M240">
        <f>RTD("tos.rtd", , "LOW", A240)</f>
        <v>155.27010000000001</v>
      </c>
      <c r="N240">
        <f>RTD("tos.rtd", , "52HIGH", A240)</f>
        <v>156.46</v>
      </c>
      <c r="O240">
        <f>RTD("tos.rtd", , "52LOW", A240)</f>
        <v>109.96</v>
      </c>
      <c r="P240">
        <f>RTD("tos.rtd", , "Mark", A240)</f>
        <v>156.6</v>
      </c>
    </row>
    <row r="241" spans="1:16" x14ac:dyDescent="0.25">
      <c r="A241" t="s">
        <v>253</v>
      </c>
      <c r="B241">
        <f>RTD("tos.rtd", , "Last", A241)</f>
        <v>54.21</v>
      </c>
      <c r="C241" t="str">
        <f>RTD("tos.rtd", , "STRENGTH_METER", A241)</f>
        <v>Range Bound</v>
      </c>
      <c r="D241" t="str">
        <f>RTD("tos.rtd", , "QUOTE_TREND", A241)</f>
        <v>instrument=IP</v>
      </c>
      <c r="E241">
        <f>RTD("tos.rtd", , "NET_CHANGE", A241)</f>
        <v>0.14000000000000001</v>
      </c>
      <c r="F241">
        <f>RTD("tos.rtd", , "BID", A241)</f>
        <v>52.52</v>
      </c>
      <c r="G241">
        <f>RTD("tos.rtd", , "ASK", A241)</f>
        <v>54.27</v>
      </c>
      <c r="H241">
        <f>RTD("tos.rtd", , "BID_SIZE", A241)</f>
        <v>1</v>
      </c>
      <c r="I241">
        <f>RTD("tos.rtd", , "ASK_SIZE", A241)</f>
        <v>1</v>
      </c>
      <c r="J241">
        <f>RTD("tos.rtd", , "VOLUME", A241)</f>
        <v>1248578</v>
      </c>
      <c r="K241">
        <f>RTD("tos.rtd", , "OPEN", A241)</f>
        <v>53.93</v>
      </c>
      <c r="L241">
        <f>RTD("tos.rtd", , "HIGH",A241)</f>
        <v>54.38</v>
      </c>
      <c r="M241">
        <f>RTD("tos.rtd", , "LOW", A241)</f>
        <v>53.7</v>
      </c>
      <c r="N241">
        <f>RTD("tos.rtd", , "52HIGH", A241)</f>
        <v>58.96</v>
      </c>
      <c r="O241">
        <f>RTD("tos.rtd", , "52LOW", A241)</f>
        <v>47.72</v>
      </c>
      <c r="P241">
        <f>RTD("tos.rtd", , "Mark", A241)</f>
        <v>54.21</v>
      </c>
    </row>
    <row r="242" spans="1:16" x14ac:dyDescent="0.25">
      <c r="A242" t="s">
        <v>254</v>
      </c>
      <c r="B242">
        <f>RTD("tos.rtd", , "Last", A242)</f>
        <v>19.05</v>
      </c>
      <c r="C242" t="str">
        <f>RTD("tos.rtd", , "STRENGTH_METER", A242)</f>
        <v>Range Bound</v>
      </c>
      <c r="D242" t="str">
        <f>RTD("tos.rtd", , "QUOTE_TREND", A242)</f>
        <v>instrument=IPG</v>
      </c>
      <c r="E242">
        <f>RTD("tos.rtd", , "NET_CHANGE", A242)</f>
        <v>0.39</v>
      </c>
      <c r="F242">
        <f>RTD("tos.rtd", , "BID", A242)</f>
        <v>19</v>
      </c>
      <c r="G242">
        <f>RTD("tos.rtd", , "ASK", A242)</f>
        <v>19.07</v>
      </c>
      <c r="H242">
        <f>RTD("tos.rtd", , "BID_SIZE", A242)</f>
        <v>1</v>
      </c>
      <c r="I242">
        <f>RTD("tos.rtd", , "ASK_SIZE", A242)</f>
        <v>1</v>
      </c>
      <c r="J242">
        <f>RTD("tos.rtd", , "VOLUME", A242)</f>
        <v>4969922</v>
      </c>
      <c r="K242">
        <f>RTD("tos.rtd", , "OPEN", A242)</f>
        <v>18.66</v>
      </c>
      <c r="L242">
        <f>RTD("tos.rtd", , "HIGH",A242)</f>
        <v>19.21</v>
      </c>
      <c r="M242">
        <f>RTD("tos.rtd", , "LOW", A242)</f>
        <v>18.66</v>
      </c>
      <c r="N242">
        <f>RTD("tos.rtd", , "52HIGH", A242)</f>
        <v>25.71</v>
      </c>
      <c r="O242">
        <f>RTD("tos.rtd", , "52LOW", A242)</f>
        <v>18.3</v>
      </c>
      <c r="P242">
        <f>RTD("tos.rtd", , "Mark", A242)</f>
        <v>19.05</v>
      </c>
    </row>
    <row r="243" spans="1:16" x14ac:dyDescent="0.25">
      <c r="A243" t="s">
        <v>255</v>
      </c>
      <c r="B243">
        <f>RTD("tos.rtd", , "Last", A243)</f>
        <v>85.12</v>
      </c>
      <c r="C243" t="str">
        <f>RTD("tos.rtd", , "STRENGTH_METER", A243)</f>
        <v>Range Bound</v>
      </c>
      <c r="D243" t="str">
        <f>RTD("tos.rtd", , "QUOTE_TREND", A243)</f>
        <v>instrument=IR</v>
      </c>
      <c r="E243">
        <f>RTD("tos.rtd", , "NET_CHANGE", A243)</f>
        <v>-0.14000000000000001</v>
      </c>
      <c r="F243">
        <f>RTD("tos.rtd", , "BID", A243)</f>
        <v>82.11</v>
      </c>
      <c r="G243">
        <f>RTD("tos.rtd", , "ASK", A243)</f>
        <v>85.88</v>
      </c>
      <c r="H243">
        <f>RTD("tos.rtd", , "BID_SIZE", A243)</f>
        <v>3</v>
      </c>
      <c r="I243">
        <f>RTD("tos.rtd", , "ASK_SIZE", A243)</f>
        <v>1</v>
      </c>
      <c r="J243">
        <f>RTD("tos.rtd", , "VOLUME", A243)</f>
        <v>1328157</v>
      </c>
      <c r="K243">
        <f>RTD("tos.rtd", , "OPEN", A243)</f>
        <v>84.63</v>
      </c>
      <c r="L243">
        <f>RTD("tos.rtd", , "HIGH",A243)</f>
        <v>85.31</v>
      </c>
      <c r="M243">
        <f>RTD("tos.rtd", , "LOW", A243)</f>
        <v>84.15</v>
      </c>
      <c r="N243">
        <f>RTD("tos.rtd", , "52HIGH", A243)</f>
        <v>96.23</v>
      </c>
      <c r="O243">
        <f>RTD("tos.rtd", , "52LOW", A243)</f>
        <v>74.02</v>
      </c>
      <c r="P243">
        <f>RTD("tos.rtd", , "Mark", A243)</f>
        <v>85.12</v>
      </c>
    </row>
    <row r="244" spans="1:16" x14ac:dyDescent="0.25">
      <c r="A244" t="s">
        <v>256</v>
      </c>
      <c r="B244">
        <f>RTD("tos.rtd", , "Last", A244)</f>
        <v>40.770000000000003</v>
      </c>
      <c r="C244" t="str">
        <f>RTD("tos.rtd", , "STRENGTH_METER", A244)</f>
        <v>Range Bound</v>
      </c>
      <c r="D244" t="str">
        <f>RTD("tos.rtd", , "QUOTE_TREND", A244)</f>
        <v>instrument=IRM</v>
      </c>
      <c r="E244">
        <f>RTD("tos.rtd", , "NET_CHANGE", A244)</f>
        <v>-0.05</v>
      </c>
      <c r="F244">
        <f>RTD("tos.rtd", , "BID", A244)</f>
        <v>38</v>
      </c>
      <c r="G244">
        <f>RTD("tos.rtd", , "ASK", A244)</f>
        <v>41.5</v>
      </c>
      <c r="H244">
        <f>RTD("tos.rtd", , "BID_SIZE", A244)</f>
        <v>1</v>
      </c>
      <c r="I244">
        <f>RTD("tos.rtd", , "ASK_SIZE", A244)</f>
        <v>27</v>
      </c>
      <c r="J244">
        <f>RTD("tos.rtd", , "VOLUME", A244)</f>
        <v>1324901</v>
      </c>
      <c r="K244">
        <f>RTD("tos.rtd", , "OPEN", A244)</f>
        <v>40.67</v>
      </c>
      <c r="L244">
        <f>RTD("tos.rtd", , "HIGH",A244)</f>
        <v>40.78</v>
      </c>
      <c r="M244">
        <f>RTD("tos.rtd", , "LOW", A244)</f>
        <v>40.299999999999997</v>
      </c>
      <c r="N244">
        <f>RTD("tos.rtd", , "52HIGH", A244)</f>
        <v>41.18</v>
      </c>
      <c r="O244">
        <f>RTD("tos.rtd", , "52LOW", A244)</f>
        <v>31.29</v>
      </c>
      <c r="P244">
        <f>RTD("tos.rtd", , "Mark", A244)</f>
        <v>40.770000000000003</v>
      </c>
    </row>
    <row r="245" spans="1:16" x14ac:dyDescent="0.25">
      <c r="A245" t="s">
        <v>257</v>
      </c>
      <c r="B245">
        <f>RTD("tos.rtd", , "Last", A245)</f>
        <v>392.48</v>
      </c>
      <c r="C245" t="str">
        <f>RTD("tos.rtd", , "STRENGTH_METER", A245)</f>
        <v>Range Bound</v>
      </c>
      <c r="D245" t="str">
        <f>RTD("tos.rtd", , "QUOTE_TREND", A245)</f>
        <v>instrument=ISRG</v>
      </c>
      <c r="E245">
        <f>RTD("tos.rtd", , "NET_CHANGE", A245)</f>
        <v>-1.32</v>
      </c>
      <c r="F245">
        <f>RTD("tos.rtd", , "BID", A245)</f>
        <v>392.32</v>
      </c>
      <c r="G245">
        <f>RTD("tos.rtd", , "ASK", A245)</f>
        <v>400</v>
      </c>
      <c r="H245">
        <f>RTD("tos.rtd", , "BID_SIZE", A245)</f>
        <v>1</v>
      </c>
      <c r="I245">
        <f>RTD("tos.rtd", , "ASK_SIZE", A245)</f>
        <v>5</v>
      </c>
      <c r="J245">
        <f>RTD("tos.rtd", , "VOLUME", A245)</f>
        <v>550473</v>
      </c>
      <c r="K245">
        <f>RTD("tos.rtd", , "OPEN", A245)</f>
        <v>394.75</v>
      </c>
      <c r="L245">
        <f>RTD("tos.rtd", , "HIGH",A245)</f>
        <v>400</v>
      </c>
      <c r="M245">
        <f>RTD("tos.rtd", , "LOW", A245)</f>
        <v>390.50009999999997</v>
      </c>
      <c r="N245">
        <f>RTD("tos.rtd", , "52HIGH", A245)</f>
        <v>394.9</v>
      </c>
      <c r="O245">
        <f>RTD("tos.rtd", , "52LOW", A245)</f>
        <v>203.57</v>
      </c>
      <c r="P245">
        <f>RTD("tos.rtd", , "Mark", A245)</f>
        <v>392.48</v>
      </c>
    </row>
    <row r="246" spans="1:16" x14ac:dyDescent="0.25">
      <c r="A246" t="s">
        <v>258</v>
      </c>
      <c r="B246">
        <f>RTD("tos.rtd", , "Last", A246)</f>
        <v>157.13999999999999</v>
      </c>
      <c r="C246" t="str">
        <f>RTD("tos.rtd", , "STRENGTH_METER", A246)</f>
        <v>Range Bound</v>
      </c>
      <c r="D246" t="str">
        <f>RTD("tos.rtd", , "QUOTE_TREND", A246)</f>
        <v>instrument=ITW</v>
      </c>
      <c r="E246">
        <f>RTD("tos.rtd", , "NET_CHANGE", A246)</f>
        <v>-0.78</v>
      </c>
      <c r="F246">
        <f>RTD("tos.rtd", , "BID", A246)</f>
        <v>149.79</v>
      </c>
      <c r="G246">
        <f>RTD("tos.rtd", , "ASK", A246)</f>
        <v>158.61000000000001</v>
      </c>
      <c r="H246">
        <f>RTD("tos.rtd", , "BID_SIZE", A246)</f>
        <v>1</v>
      </c>
      <c r="I246">
        <f>RTD("tos.rtd", , "ASK_SIZE", A246)</f>
        <v>1</v>
      </c>
      <c r="J246">
        <f>RTD("tos.rtd", , "VOLUME", A246)</f>
        <v>791998</v>
      </c>
      <c r="K246">
        <f>RTD("tos.rtd", , "OPEN", A246)</f>
        <v>156.97</v>
      </c>
      <c r="L246">
        <f>RTD("tos.rtd", , "HIGH",A246)</f>
        <v>157.65</v>
      </c>
      <c r="M246">
        <f>RTD("tos.rtd", , "LOW", A246)</f>
        <v>156.47999999999999</v>
      </c>
      <c r="N246">
        <f>RTD("tos.rtd", , "52HIGH", A246)</f>
        <v>159.36000000000001</v>
      </c>
      <c r="O246">
        <f>RTD("tos.rtd", , "52LOW", A246)</f>
        <v>120.06</v>
      </c>
      <c r="P246">
        <f>RTD("tos.rtd", , "Mark", A246)</f>
        <v>157.13999999999999</v>
      </c>
    </row>
    <row r="247" spans="1:16" x14ac:dyDescent="0.25">
      <c r="A247" t="s">
        <v>259</v>
      </c>
      <c r="B247">
        <f>RTD("tos.rtd", , "Last", A247)</f>
        <v>34.979999999999997</v>
      </c>
      <c r="C247" t="str">
        <f>RTD("tos.rtd", , "STRENGTH_METER", A247)</f>
        <v>Range Bound</v>
      </c>
      <c r="D247" t="str">
        <f>RTD("tos.rtd", , "QUOTE_TREND", A247)</f>
        <v>instrument=IVZ</v>
      </c>
      <c r="E247">
        <f>RTD("tos.rtd", , "NET_CHANGE", A247)</f>
        <v>0.41</v>
      </c>
      <c r="F247">
        <f>RTD("tos.rtd", , "BID", A247)</f>
        <v>34.5</v>
      </c>
      <c r="G247">
        <f>RTD("tos.rtd", , "ASK", A247)</f>
        <v>35.049999999999997</v>
      </c>
      <c r="H247">
        <f>RTD("tos.rtd", , "BID_SIZE", A247)</f>
        <v>4</v>
      </c>
      <c r="I247">
        <f>RTD("tos.rtd", , "ASK_SIZE", A247)</f>
        <v>6</v>
      </c>
      <c r="J247">
        <f>RTD("tos.rtd", , "VOLUME", A247)</f>
        <v>2888351</v>
      </c>
      <c r="K247">
        <f>RTD("tos.rtd", , "OPEN", A247)</f>
        <v>34.43</v>
      </c>
      <c r="L247">
        <f>RTD("tos.rtd", , "HIGH",A247)</f>
        <v>35.07</v>
      </c>
      <c r="M247">
        <f>RTD("tos.rtd", , "LOW", A247)</f>
        <v>34.365000000000002</v>
      </c>
      <c r="N247">
        <f>RTD("tos.rtd", , "52HIGH", A247)</f>
        <v>37.75</v>
      </c>
      <c r="O247">
        <f>RTD("tos.rtd", , "52LOW", A247)</f>
        <v>28.75</v>
      </c>
      <c r="P247">
        <f>RTD("tos.rtd", , "Mark", A247)</f>
        <v>34.979999999999997</v>
      </c>
    </row>
    <row r="248" spans="1:16" x14ac:dyDescent="0.25">
      <c r="A248" t="s">
        <v>260</v>
      </c>
      <c r="B248">
        <f>RTD("tos.rtd", , "Last", A248)</f>
        <v>29.22</v>
      </c>
      <c r="C248" t="str">
        <f>RTD("tos.rtd", , "STRENGTH_METER", A248)</f>
        <v>Range Bound</v>
      </c>
      <c r="D248" t="str">
        <f>RTD("tos.rtd", , "QUOTE_TREND", A248)</f>
        <v>instrument=JBL</v>
      </c>
      <c r="E248">
        <f>RTD("tos.rtd", , "NET_CHANGE", A248)</f>
        <v>0.12</v>
      </c>
      <c r="F248">
        <f>RTD("tos.rtd", , "BID", A248)</f>
        <v>27.5</v>
      </c>
      <c r="G248">
        <f>RTD("tos.rtd", , "ASK", A248)</f>
        <v>29.51</v>
      </c>
      <c r="H248">
        <f>RTD("tos.rtd", , "BID_SIZE", A248)</f>
        <v>1</v>
      </c>
      <c r="I248">
        <f>RTD("tos.rtd", , "ASK_SIZE", A248)</f>
        <v>10</v>
      </c>
      <c r="J248">
        <f>RTD("tos.rtd", , "VOLUME", A248)</f>
        <v>1396267</v>
      </c>
      <c r="K248">
        <f>RTD("tos.rtd", , "OPEN", A248)</f>
        <v>29.12</v>
      </c>
      <c r="L248">
        <f>RTD("tos.rtd", , "HIGH",A248)</f>
        <v>29.44</v>
      </c>
      <c r="M248">
        <f>RTD("tos.rtd", , "LOW", A248)</f>
        <v>28.94</v>
      </c>
      <c r="N248">
        <f>RTD("tos.rtd", , "52HIGH", A248)</f>
        <v>31.6999</v>
      </c>
      <c r="O248">
        <f>RTD("tos.rtd", , "52LOW", A248)</f>
        <v>20.32</v>
      </c>
      <c r="P248">
        <f>RTD("tos.rtd", , "Mark", A248)</f>
        <v>29.22</v>
      </c>
    </row>
    <row r="249" spans="1:16" x14ac:dyDescent="0.25">
      <c r="A249" t="s">
        <v>261</v>
      </c>
      <c r="B249">
        <f>RTD("tos.rtd", , "Last", A249)</f>
        <v>36.39</v>
      </c>
      <c r="C249" t="str">
        <f>RTD("tos.rtd", , "STRENGTH_METER", A249)</f>
        <v>Downtrend</v>
      </c>
      <c r="D249" t="str">
        <f>RTD("tos.rtd", , "QUOTE_TREND", A249)</f>
        <v>instrument=JCI</v>
      </c>
      <c r="E249">
        <f>RTD("tos.rtd", , "NET_CHANGE", A249)</f>
        <v>0.25</v>
      </c>
      <c r="F249">
        <f>RTD("tos.rtd", , "BID", A249)</f>
        <v>36.29</v>
      </c>
      <c r="G249">
        <f>RTD("tos.rtd", , "ASK", A249)</f>
        <v>36.409999999999997</v>
      </c>
      <c r="H249">
        <f>RTD("tos.rtd", , "BID_SIZE", A249)</f>
        <v>3</v>
      </c>
      <c r="I249">
        <f>RTD("tos.rtd", , "ASK_SIZE", A249)</f>
        <v>1</v>
      </c>
      <c r="J249">
        <f>RTD("tos.rtd", , "VOLUME", A249)</f>
        <v>5009461</v>
      </c>
      <c r="K249">
        <f>RTD("tos.rtd", , "OPEN", A249)</f>
        <v>35.96</v>
      </c>
      <c r="L249">
        <f>RTD("tos.rtd", , "HIGH",A249)</f>
        <v>36.54</v>
      </c>
      <c r="M249">
        <f>RTD("tos.rtd", , "LOW", A249)</f>
        <v>35.729999999999997</v>
      </c>
      <c r="N249">
        <f>RTD("tos.rtd", , "52HIGH", A249)</f>
        <v>46.17</v>
      </c>
      <c r="O249">
        <f>RTD("tos.rtd", , "52LOW", A249)</f>
        <v>34.51</v>
      </c>
      <c r="P249">
        <f>RTD("tos.rtd", , "Mark", A249)</f>
        <v>36.39</v>
      </c>
    </row>
    <row r="250" spans="1:16" x14ac:dyDescent="0.25">
      <c r="A250" t="s">
        <v>262</v>
      </c>
      <c r="B250">
        <f>RTD("tos.rtd", , "Last", A250)</f>
        <v>3.29</v>
      </c>
      <c r="C250" t="str">
        <f>RTD("tos.rtd", , "STRENGTH_METER", A250)</f>
        <v>Downtrend</v>
      </c>
      <c r="D250" t="str">
        <f>RTD("tos.rtd", , "QUOTE_TREND", A250)</f>
        <v>instrument=JCP</v>
      </c>
      <c r="E250">
        <f>RTD("tos.rtd", , "NET_CHANGE", A250)</f>
        <v>0.13</v>
      </c>
      <c r="F250">
        <f>RTD("tos.rtd", , "BID", A250)</f>
        <v>3.28</v>
      </c>
      <c r="G250">
        <f>RTD("tos.rtd", , "ASK", A250)</f>
        <v>3.29</v>
      </c>
      <c r="H250">
        <f>RTD("tos.rtd", , "BID_SIZE", A250)</f>
        <v>86</v>
      </c>
      <c r="I250">
        <f>RTD("tos.rtd", , "ASK_SIZE", A250)</f>
        <v>20</v>
      </c>
      <c r="J250">
        <f>RTD("tos.rtd", , "VOLUME", A250)</f>
        <v>12061287</v>
      </c>
      <c r="K250">
        <f>RTD("tos.rtd", , "OPEN", A250)</f>
        <v>3.2</v>
      </c>
      <c r="L250">
        <f>RTD("tos.rtd", , "HIGH",A250)</f>
        <v>3.29</v>
      </c>
      <c r="M250">
        <f>RTD("tos.rtd", , "LOW", A250)</f>
        <v>3.18</v>
      </c>
      <c r="N250">
        <f>RTD("tos.rtd", , "52HIGH", A250)</f>
        <v>10.74</v>
      </c>
      <c r="O250">
        <f>RTD("tos.rtd", , "52LOW", A250)</f>
        <v>2.35</v>
      </c>
      <c r="P250">
        <f>RTD("tos.rtd", , "Mark", A250)</f>
        <v>3.29</v>
      </c>
    </row>
    <row r="251" spans="1:16" x14ac:dyDescent="0.25">
      <c r="A251" t="s">
        <v>263</v>
      </c>
      <c r="B251">
        <f>RTD("tos.rtd", , "Last", A251)</f>
        <v>0</v>
      </c>
      <c r="C251" t="str">
        <f>RTD("tos.rtd", , "STRENGTH_METER", A251)</f>
        <v>N/A</v>
      </c>
      <c r="D251" t="str">
        <f>RTD("tos.rtd", , "QUOTE_TREND", A251)</f>
        <v>instrument=JDSU</v>
      </c>
      <c r="E251">
        <f>RTD("tos.rtd", , "NET_CHANGE", A251)</f>
        <v>0</v>
      </c>
      <c r="F251">
        <f>RTD("tos.rtd", , "BID", A251)</f>
        <v>8.99</v>
      </c>
      <c r="G251">
        <f>RTD("tos.rtd", , "ASK", A251)</f>
        <v>12.94</v>
      </c>
      <c r="H251">
        <f>RTD("tos.rtd", , "BID_SIZE", A251)</f>
        <v>0</v>
      </c>
      <c r="I251">
        <f>RTD("tos.rtd", , "ASK_SIZE", A251)</f>
        <v>0</v>
      </c>
      <c r="J251">
        <f>RTD("tos.rtd", , "VOLUME", A251)</f>
        <v>0</v>
      </c>
      <c r="K251">
        <f>RTD("tos.rtd", , "OPEN", A251)</f>
        <v>0</v>
      </c>
      <c r="L251">
        <f>RTD("tos.rtd", , "HIGH",A251)</f>
        <v>0</v>
      </c>
      <c r="M251">
        <f>RTD("tos.rtd", , "LOW", A251)</f>
        <v>0</v>
      </c>
      <c r="N251">
        <f>RTD("tos.rtd", , "52HIGH", A251)</f>
        <v>14.244999999999999</v>
      </c>
      <c r="O251">
        <f>RTD("tos.rtd", , "52LOW", A251)</f>
        <v>10.62</v>
      </c>
      <c r="P251">
        <f>RTD("tos.rtd", , "Mark", A251)</f>
        <v>8.99</v>
      </c>
    </row>
    <row r="252" spans="1:16" x14ac:dyDescent="0.25">
      <c r="A252" t="s">
        <v>264</v>
      </c>
      <c r="B252">
        <f>RTD("tos.rtd", , "Last", A252)</f>
        <v>58.63</v>
      </c>
      <c r="C252" t="str">
        <f>RTD("tos.rtd", , "STRENGTH_METER", A252)</f>
        <v>Range Bound</v>
      </c>
      <c r="D252" t="str">
        <f>RTD("tos.rtd", , "QUOTE_TREND", A252)</f>
        <v>instrument=JEC</v>
      </c>
      <c r="E252">
        <f>RTD("tos.rtd", , "NET_CHANGE", A252)</f>
        <v>0.2</v>
      </c>
      <c r="F252">
        <f>RTD("tos.rtd", , "BID", A252)</f>
        <v>55.65</v>
      </c>
      <c r="G252">
        <f>RTD("tos.rtd", , "ASK", A252)</f>
        <v>60.56</v>
      </c>
      <c r="H252">
        <f>RTD("tos.rtd", , "BID_SIZE", A252)</f>
        <v>1</v>
      </c>
      <c r="I252">
        <f>RTD("tos.rtd", , "ASK_SIZE", A252)</f>
        <v>1</v>
      </c>
      <c r="J252">
        <f>RTD("tos.rtd", , "VOLUME", A252)</f>
        <v>389168</v>
      </c>
      <c r="K252">
        <f>RTD("tos.rtd", , "OPEN", A252)</f>
        <v>58.26</v>
      </c>
      <c r="L252">
        <f>RTD("tos.rtd", , "HIGH",A252)</f>
        <v>58.86</v>
      </c>
      <c r="M252">
        <f>RTD("tos.rtd", , "LOW", A252)</f>
        <v>58.23</v>
      </c>
      <c r="N252">
        <f>RTD("tos.rtd", , "52HIGH", A252)</f>
        <v>63.42</v>
      </c>
      <c r="O252">
        <f>RTD("tos.rtd", , "52LOW", A252)</f>
        <v>49.31</v>
      </c>
      <c r="P252">
        <f>RTD("tos.rtd", , "Mark", A252)</f>
        <v>58.63</v>
      </c>
    </row>
    <row r="253" spans="1:16" x14ac:dyDescent="0.25">
      <c r="A253" t="s">
        <v>265</v>
      </c>
      <c r="B253">
        <f>RTD("tos.rtd", , "Last", A253)</f>
        <v>138</v>
      </c>
      <c r="C253" t="str">
        <f>RTD("tos.rtd", , "STRENGTH_METER", A253)</f>
        <v>Range Bound</v>
      </c>
      <c r="D253" t="str">
        <f>RTD("tos.rtd", , "QUOTE_TREND", A253)</f>
        <v>instrument=JNJ</v>
      </c>
      <c r="E253">
        <f>RTD("tos.rtd", , "NET_CHANGE", A253)</f>
        <v>-0.87</v>
      </c>
      <c r="F253">
        <f>RTD("tos.rtd", , "BID", A253)</f>
        <v>137.99</v>
      </c>
      <c r="G253">
        <f>RTD("tos.rtd", , "ASK", A253)</f>
        <v>138.02000000000001</v>
      </c>
      <c r="H253">
        <f>RTD("tos.rtd", , "BID_SIZE", A253)</f>
        <v>1</v>
      </c>
      <c r="I253">
        <f>RTD("tos.rtd", , "ASK_SIZE", A253)</f>
        <v>50</v>
      </c>
      <c r="J253">
        <f>RTD("tos.rtd", , "VOLUME", A253)</f>
        <v>4112134</v>
      </c>
      <c r="K253">
        <f>RTD("tos.rtd", , "OPEN", A253)</f>
        <v>138.30000000000001</v>
      </c>
      <c r="L253">
        <f>RTD("tos.rtd", , "HIGH",A253)</f>
        <v>138.86000000000001</v>
      </c>
      <c r="M253">
        <f>RTD("tos.rtd", , "LOW", A253)</f>
        <v>137.88999999999999</v>
      </c>
      <c r="N253">
        <f>RTD("tos.rtd", , "52HIGH", A253)</f>
        <v>144.35230000000001</v>
      </c>
      <c r="O253">
        <f>RTD("tos.rtd", , "52LOW", A253)</f>
        <v>109.32</v>
      </c>
      <c r="P253">
        <f>RTD("tos.rtd", , "Mark", A253)</f>
        <v>138</v>
      </c>
    </row>
    <row r="254" spans="1:16" x14ac:dyDescent="0.25">
      <c r="A254" t="s">
        <v>266</v>
      </c>
      <c r="B254">
        <f>RTD("tos.rtd", , "Last", A254)</f>
        <v>26.3</v>
      </c>
      <c r="C254" t="str">
        <f>RTD("tos.rtd", , "STRENGTH_METER", A254)</f>
        <v>Range Bound</v>
      </c>
      <c r="D254" t="str">
        <f>RTD("tos.rtd", , "QUOTE_TREND", A254)</f>
        <v>instrument=JNPR</v>
      </c>
      <c r="E254">
        <f>RTD("tos.rtd", , "NET_CHANGE", A254)</f>
        <v>0.11</v>
      </c>
      <c r="F254">
        <f>RTD("tos.rtd", , "BID", A254)</f>
        <v>26.25</v>
      </c>
      <c r="G254">
        <f>RTD("tos.rtd", , "ASK", A254)</f>
        <v>26.3</v>
      </c>
      <c r="H254">
        <f>RTD("tos.rtd", , "BID_SIZE", A254)</f>
        <v>1</v>
      </c>
      <c r="I254">
        <f>RTD("tos.rtd", , "ASK_SIZE", A254)</f>
        <v>2</v>
      </c>
      <c r="J254">
        <f>RTD("tos.rtd", , "VOLUME", A254)</f>
        <v>4504588</v>
      </c>
      <c r="K254">
        <f>RTD("tos.rtd", , "OPEN", A254)</f>
        <v>26.13</v>
      </c>
      <c r="L254">
        <f>RTD("tos.rtd", , "HIGH",A254)</f>
        <v>26.42</v>
      </c>
      <c r="M254">
        <f>RTD("tos.rtd", , "LOW", A254)</f>
        <v>26</v>
      </c>
      <c r="N254">
        <f>RTD("tos.rtd", , "52HIGH", A254)</f>
        <v>30.96</v>
      </c>
      <c r="O254">
        <f>RTD("tos.rtd", , "52LOW", A254)</f>
        <v>23.87</v>
      </c>
      <c r="P254">
        <f>RTD("tos.rtd", , "Mark", A254)</f>
        <v>26.3</v>
      </c>
    </row>
    <row r="255" spans="1:16" x14ac:dyDescent="0.25">
      <c r="A255" t="s">
        <v>267</v>
      </c>
      <c r="B255">
        <f>RTD("tos.rtd", , "Last", A255)</f>
        <v>28.3</v>
      </c>
      <c r="C255" t="str">
        <f>RTD("tos.rtd", , "STRENGTH_METER", A255)</f>
        <v>Range Bound</v>
      </c>
      <c r="D255" t="str">
        <f>RTD("tos.rtd", , "QUOTE_TREND", A255)</f>
        <v>instrument=JOY</v>
      </c>
      <c r="E255">
        <f>RTD("tos.rtd", , "NET_CHANGE", A255)</f>
        <v>0</v>
      </c>
      <c r="F255">
        <f>RTD("tos.rtd", , "BID", A255)</f>
        <v>28.29</v>
      </c>
      <c r="G255">
        <f>RTD("tos.rtd", , "ASK", A255)</f>
        <v>28.31</v>
      </c>
      <c r="H255">
        <f>RTD("tos.rtd", , "BID_SIZE", A255)</f>
        <v>0</v>
      </c>
      <c r="I255">
        <f>RTD("tos.rtd", , "ASK_SIZE", A255)</f>
        <v>0</v>
      </c>
      <c r="J255">
        <f>RTD("tos.rtd", , "VOLUME", A255)</f>
        <v>0</v>
      </c>
      <c r="K255">
        <f>RTD("tos.rtd", , "OPEN", A255)</f>
        <v>0</v>
      </c>
      <c r="L255">
        <f>RTD("tos.rtd", , "HIGH",A255)</f>
        <v>0</v>
      </c>
      <c r="M255">
        <f>RTD("tos.rtd", , "LOW", A255)</f>
        <v>0</v>
      </c>
      <c r="N255">
        <f>RTD("tos.rtd", , "52HIGH", A255)</f>
        <v>28.55</v>
      </c>
      <c r="O255">
        <f>RTD("tos.rtd", , "52LOW", A255)</f>
        <v>14.04</v>
      </c>
      <c r="P255">
        <f>RTD("tos.rtd", , "Mark", A255)</f>
        <v>28.3</v>
      </c>
    </row>
    <row r="256" spans="1:16" x14ac:dyDescent="0.25">
      <c r="A256" t="s">
        <v>268</v>
      </c>
      <c r="B256">
        <f>RTD("tos.rtd", , "Last", A256)</f>
        <v>98.14</v>
      </c>
      <c r="C256" t="str">
        <f>RTD("tos.rtd", , "STRENGTH_METER", A256)</f>
        <v>Range Bound</v>
      </c>
      <c r="D256" t="str">
        <f>RTD("tos.rtd", , "QUOTE_TREND", A256)</f>
        <v>instrument=JPM</v>
      </c>
      <c r="E256">
        <f>RTD("tos.rtd", , "NET_CHANGE", A256)</f>
        <v>-0.33</v>
      </c>
      <c r="F256">
        <f>RTD("tos.rtd", , "BID", A256)</f>
        <v>98.04</v>
      </c>
      <c r="G256">
        <f>RTD("tos.rtd", , "ASK", A256)</f>
        <v>98.14</v>
      </c>
      <c r="H256">
        <f>RTD("tos.rtd", , "BID_SIZE", A256)</f>
        <v>5</v>
      </c>
      <c r="I256">
        <f>RTD("tos.rtd", , "ASK_SIZE", A256)</f>
        <v>3</v>
      </c>
      <c r="J256">
        <f>RTD("tos.rtd", , "VOLUME", A256)</f>
        <v>8989195</v>
      </c>
      <c r="K256">
        <f>RTD("tos.rtd", , "OPEN", A256)</f>
        <v>97.82</v>
      </c>
      <c r="L256">
        <f>RTD("tos.rtd", , "HIGH",A256)</f>
        <v>98.41</v>
      </c>
      <c r="M256">
        <f>RTD("tos.rtd", , "LOW", A256)</f>
        <v>97.57</v>
      </c>
      <c r="N256">
        <f>RTD("tos.rtd", , "52HIGH", A256)</f>
        <v>102.42010000000001</v>
      </c>
      <c r="O256">
        <f>RTD("tos.rtd", , "52LOW", A256)</f>
        <v>76.88</v>
      </c>
      <c r="P256">
        <f>RTD("tos.rtd", , "Mark", A256)</f>
        <v>98.14</v>
      </c>
    </row>
    <row r="257" spans="1:16" x14ac:dyDescent="0.25">
      <c r="A257" t="s">
        <v>269</v>
      </c>
      <c r="B257">
        <f>RTD("tos.rtd", , "Last", A257)</f>
        <v>40.86</v>
      </c>
      <c r="C257" t="str">
        <f>RTD("tos.rtd", , "STRENGTH_METER", A257)</f>
        <v>Range Bound</v>
      </c>
      <c r="D257" t="str">
        <f>RTD("tos.rtd", , "QUOTE_TREND", A257)</f>
        <v>instrument=JWN</v>
      </c>
      <c r="E257">
        <f>RTD("tos.rtd", , "NET_CHANGE", A257)</f>
        <v>0.89</v>
      </c>
      <c r="F257">
        <f>RTD("tos.rtd", , "BID", A257)</f>
        <v>40.799999999999997</v>
      </c>
      <c r="G257">
        <f>RTD("tos.rtd", , "ASK", A257)</f>
        <v>41.25</v>
      </c>
      <c r="H257">
        <f>RTD("tos.rtd", , "BID_SIZE", A257)</f>
        <v>3</v>
      </c>
      <c r="I257">
        <f>RTD("tos.rtd", , "ASK_SIZE", A257)</f>
        <v>1</v>
      </c>
      <c r="J257">
        <f>RTD("tos.rtd", , "VOLUME", A257)</f>
        <v>2331261</v>
      </c>
      <c r="K257">
        <f>RTD("tos.rtd", , "OPEN", A257)</f>
        <v>40.86</v>
      </c>
      <c r="L257">
        <f>RTD("tos.rtd", , "HIGH",A257)</f>
        <v>41.22</v>
      </c>
      <c r="M257">
        <f>RTD("tos.rtd", , "LOW", A257)</f>
        <v>40.32</v>
      </c>
      <c r="N257">
        <f>RTD("tos.rtd", , "52HIGH", A257)</f>
        <v>61.85</v>
      </c>
      <c r="O257">
        <f>RTD("tos.rtd", , "52LOW", A257)</f>
        <v>37.792400000000001</v>
      </c>
      <c r="P257">
        <f>RTD("tos.rtd", , "Mark", A257)</f>
        <v>40.86</v>
      </c>
    </row>
    <row r="258" spans="1:16" x14ac:dyDescent="0.25">
      <c r="A258" t="s">
        <v>270</v>
      </c>
      <c r="B258">
        <f>RTD("tos.rtd", , "Last", A258)</f>
        <v>65.36</v>
      </c>
      <c r="C258" t="str">
        <f>RTD("tos.rtd", , "STRENGTH_METER", A258)</f>
        <v>Range Bound</v>
      </c>
      <c r="D258" t="str">
        <f>RTD("tos.rtd", , "QUOTE_TREND", A258)</f>
        <v>instrument=K</v>
      </c>
      <c r="E258">
        <f>RTD("tos.rtd", , "NET_CHANGE", A258)</f>
        <v>0.08</v>
      </c>
      <c r="F258">
        <f>RTD("tos.rtd", , "BID", A258)</f>
        <v>64.17</v>
      </c>
      <c r="G258">
        <f>RTD("tos.rtd", , "ASK", A258)</f>
        <v>65.95</v>
      </c>
      <c r="H258">
        <f>RTD("tos.rtd", , "BID_SIZE", A258)</f>
        <v>1</v>
      </c>
      <c r="I258">
        <f>RTD("tos.rtd", , "ASK_SIZE", A258)</f>
        <v>1</v>
      </c>
      <c r="J258">
        <f>RTD("tos.rtd", , "VOLUME", A258)</f>
        <v>4609844</v>
      </c>
      <c r="K258">
        <f>RTD("tos.rtd", , "OPEN", A258)</f>
        <v>64.98</v>
      </c>
      <c r="L258">
        <f>RTD("tos.rtd", , "HIGH",A258)</f>
        <v>65.84</v>
      </c>
      <c r="M258">
        <f>RTD("tos.rtd", , "LOW", A258)</f>
        <v>64.930000000000007</v>
      </c>
      <c r="N258">
        <f>RTD("tos.rtd", , "52HIGH", A258)</f>
        <v>76.69</v>
      </c>
      <c r="O258">
        <f>RTD("tos.rtd", , "52LOW", A258)</f>
        <v>58.76</v>
      </c>
      <c r="P258">
        <f>RTD("tos.rtd", , "Mark", A258)</f>
        <v>65.36</v>
      </c>
    </row>
    <row r="259" spans="1:16" x14ac:dyDescent="0.25">
      <c r="A259" t="s">
        <v>271</v>
      </c>
      <c r="B259">
        <f>RTD("tos.rtd", , "Last", A259)</f>
        <v>18.309999999999999</v>
      </c>
      <c r="C259" t="str">
        <f>RTD("tos.rtd", , "STRENGTH_METER", A259)</f>
        <v>Range Bound</v>
      </c>
      <c r="D259" t="str">
        <f>RTD("tos.rtd", , "QUOTE_TREND", A259)</f>
        <v>instrument=KEY</v>
      </c>
      <c r="E259">
        <f>RTD("tos.rtd", , "NET_CHANGE", A259)</f>
        <v>0.18</v>
      </c>
      <c r="F259">
        <f>RTD("tos.rtd", , "BID", A259)</f>
        <v>18.25</v>
      </c>
      <c r="G259">
        <f>RTD("tos.rtd", , "ASK", A259)</f>
        <v>18.32</v>
      </c>
      <c r="H259">
        <f>RTD("tos.rtd", , "BID_SIZE", A259)</f>
        <v>8</v>
      </c>
      <c r="I259">
        <f>RTD("tos.rtd", , "ASK_SIZE", A259)</f>
        <v>1</v>
      </c>
      <c r="J259">
        <f>RTD("tos.rtd", , "VOLUME", A259)</f>
        <v>9549746</v>
      </c>
      <c r="K259">
        <f>RTD("tos.rtd", , "OPEN", A259)</f>
        <v>18.02</v>
      </c>
      <c r="L259">
        <f>RTD("tos.rtd", , "HIGH",A259)</f>
        <v>18.349499999999999</v>
      </c>
      <c r="M259">
        <f>RTD("tos.rtd", , "LOW", A259)</f>
        <v>18</v>
      </c>
      <c r="N259">
        <f>RTD("tos.rtd", , "52HIGH", A259)</f>
        <v>19.53</v>
      </c>
      <c r="O259">
        <f>RTD("tos.rtd", , "52LOW", A259)</f>
        <v>16.28</v>
      </c>
      <c r="P259">
        <f>RTD("tos.rtd", , "Mark", A259)</f>
        <v>18.309999999999999</v>
      </c>
    </row>
    <row r="260" spans="1:16" x14ac:dyDescent="0.25">
      <c r="A260" t="s">
        <v>272</v>
      </c>
      <c r="B260">
        <f>RTD("tos.rtd", , "Last", A260)</f>
        <v>19.350000000000001</v>
      </c>
      <c r="C260" t="str">
        <f>RTD("tos.rtd", , "STRENGTH_METER", A260)</f>
        <v>Range Bound</v>
      </c>
      <c r="D260" t="str">
        <f>RTD("tos.rtd", , "QUOTE_TREND", A260)</f>
        <v>instrument=KIM</v>
      </c>
      <c r="E260">
        <f>RTD("tos.rtd", , "NET_CHANGE", A260)</f>
        <v>0.05</v>
      </c>
      <c r="F260">
        <f>RTD("tos.rtd", , "BID", A260)</f>
        <v>19.32</v>
      </c>
      <c r="G260">
        <f>RTD("tos.rtd", , "ASK", A260)</f>
        <v>19.38</v>
      </c>
      <c r="H260">
        <f>RTD("tos.rtd", , "BID_SIZE", A260)</f>
        <v>1</v>
      </c>
      <c r="I260">
        <f>RTD("tos.rtd", , "ASK_SIZE", A260)</f>
        <v>1</v>
      </c>
      <c r="J260">
        <f>RTD("tos.rtd", , "VOLUME", A260)</f>
        <v>4277986</v>
      </c>
      <c r="K260">
        <f>RTD("tos.rtd", , "OPEN", A260)</f>
        <v>19.309999999999999</v>
      </c>
      <c r="L260">
        <f>RTD("tos.rtd", , "HIGH",A260)</f>
        <v>19.53</v>
      </c>
      <c r="M260">
        <f>RTD("tos.rtd", , "LOW", A260)</f>
        <v>19.29</v>
      </c>
      <c r="N260">
        <f>RTD("tos.rtd", , "52HIGH", A260)</f>
        <v>26.63</v>
      </c>
      <c r="O260">
        <f>RTD("tos.rtd", , "52LOW", A260)</f>
        <v>17.02</v>
      </c>
      <c r="P260">
        <f>RTD("tos.rtd", , "Mark", A260)</f>
        <v>19.350000000000001</v>
      </c>
    </row>
    <row r="261" spans="1:16" x14ac:dyDescent="0.25">
      <c r="A261" t="s">
        <v>273</v>
      </c>
      <c r="B261">
        <f>RTD("tos.rtd", , "Last", A261)</f>
        <v>101.65</v>
      </c>
      <c r="C261" t="str">
        <f>RTD("tos.rtd", , "STRENGTH_METER", A261)</f>
        <v>Range Bound</v>
      </c>
      <c r="D261" t="str">
        <f>RTD("tos.rtd", , "QUOTE_TREND", A261)</f>
        <v>instrument=KLAC</v>
      </c>
      <c r="E261">
        <f>RTD("tos.rtd", , "NET_CHANGE", A261)</f>
        <v>-3.12</v>
      </c>
      <c r="F261">
        <f>RTD("tos.rtd", , "BID", A261)</f>
        <v>100.3</v>
      </c>
      <c r="G261">
        <f>RTD("tos.rtd", , "ASK", A261)</f>
        <v>102.58</v>
      </c>
      <c r="H261">
        <f>RTD("tos.rtd", , "BID_SIZE", A261)</f>
        <v>1</v>
      </c>
      <c r="I261">
        <f>RTD("tos.rtd", , "ASK_SIZE", A261)</f>
        <v>1</v>
      </c>
      <c r="J261">
        <f>RTD("tos.rtd", , "VOLUME", A261)</f>
        <v>1690899</v>
      </c>
      <c r="K261">
        <f>RTD("tos.rtd", , "OPEN", A261)</f>
        <v>105.76</v>
      </c>
      <c r="L261">
        <f>RTD("tos.rtd", , "HIGH",A261)</f>
        <v>106.52</v>
      </c>
      <c r="M261">
        <f>RTD("tos.rtd", , "LOW", A261)</f>
        <v>101.53</v>
      </c>
      <c r="N261">
        <f>RTD("tos.rtd", , "52HIGH", A261)</f>
        <v>110.005</v>
      </c>
      <c r="O261">
        <f>RTD("tos.rtd", , "52LOW", A261)</f>
        <v>74.66</v>
      </c>
      <c r="P261">
        <f>RTD("tos.rtd", , "Mark", A261)</f>
        <v>101.65</v>
      </c>
    </row>
    <row r="262" spans="1:16" x14ac:dyDescent="0.25">
      <c r="A262" t="s">
        <v>274</v>
      </c>
      <c r="B262">
        <f>RTD("tos.rtd", , "Last", A262)</f>
        <v>114.32</v>
      </c>
      <c r="C262" t="str">
        <f>RTD("tos.rtd", , "STRENGTH_METER", A262)</f>
        <v>Range Bound</v>
      </c>
      <c r="D262" t="str">
        <f>RTD("tos.rtd", , "QUOTE_TREND", A262)</f>
        <v>instrument=KMB</v>
      </c>
      <c r="E262">
        <f>RTD("tos.rtd", , "NET_CHANGE", A262)</f>
        <v>-0.57999999999999996</v>
      </c>
      <c r="F262">
        <f>RTD("tos.rtd", , "BID", A262)</f>
        <v>112</v>
      </c>
      <c r="G262">
        <f>RTD("tos.rtd", , "ASK", A262)</f>
        <v>114.46</v>
      </c>
      <c r="H262">
        <f>RTD("tos.rtd", , "BID_SIZE", A262)</f>
        <v>1</v>
      </c>
      <c r="I262">
        <f>RTD("tos.rtd", , "ASK_SIZE", A262)</f>
        <v>1</v>
      </c>
      <c r="J262">
        <f>RTD("tos.rtd", , "VOLUME", A262)</f>
        <v>1485265</v>
      </c>
      <c r="K262">
        <f>RTD("tos.rtd", , "OPEN", A262)</f>
        <v>114.14</v>
      </c>
      <c r="L262">
        <f>RTD("tos.rtd", , "HIGH",A262)</f>
        <v>115.36</v>
      </c>
      <c r="M262">
        <f>RTD("tos.rtd", , "LOW", A262)</f>
        <v>113.87</v>
      </c>
      <c r="N262">
        <f>RTD("tos.rtd", , "52HIGH", A262)</f>
        <v>136.21</v>
      </c>
      <c r="O262">
        <f>RTD("tos.rtd", , "52LOW", A262)</f>
        <v>109.67</v>
      </c>
      <c r="P262">
        <f>RTD("tos.rtd", , "Mark", A262)</f>
        <v>114.32</v>
      </c>
    </row>
    <row r="263" spans="1:16" x14ac:dyDescent="0.25">
      <c r="A263" t="s">
        <v>275</v>
      </c>
      <c r="B263">
        <f>RTD("tos.rtd", , "Last", A263)</f>
        <v>17.010000000000002</v>
      </c>
      <c r="C263" t="str">
        <f>RTD("tos.rtd", , "STRENGTH_METER", A263)</f>
        <v>Range Bound</v>
      </c>
      <c r="D263" t="str">
        <f>RTD("tos.rtd", , "QUOTE_TREND", A263)</f>
        <v>instrument=KMI</v>
      </c>
      <c r="E263">
        <f>RTD("tos.rtd", , "NET_CHANGE", A263)</f>
        <v>0.18</v>
      </c>
      <c r="F263">
        <f>RTD("tos.rtd", , "BID", A263)</f>
        <v>16.95</v>
      </c>
      <c r="G263">
        <f>RTD("tos.rtd", , "ASK", A263)</f>
        <v>16.989999999999998</v>
      </c>
      <c r="H263">
        <f>RTD("tos.rtd", , "BID_SIZE", A263)</f>
        <v>102</v>
      </c>
      <c r="I263">
        <f>RTD("tos.rtd", , "ASK_SIZE", A263)</f>
        <v>1</v>
      </c>
      <c r="J263">
        <f>RTD("tos.rtd", , "VOLUME", A263)</f>
        <v>12224162</v>
      </c>
      <c r="K263">
        <f>RTD("tos.rtd", , "OPEN", A263)</f>
        <v>16.829999999999998</v>
      </c>
      <c r="L263">
        <f>RTD("tos.rtd", , "HIGH",A263)</f>
        <v>17.03</v>
      </c>
      <c r="M263">
        <f>RTD("tos.rtd", , "LOW", A263)</f>
        <v>16.7</v>
      </c>
      <c r="N263">
        <f>RTD("tos.rtd", , "52HIGH", A263)</f>
        <v>23.01</v>
      </c>
      <c r="O263">
        <f>RTD("tos.rtd", , "52LOW", A263)</f>
        <v>16.809999999999999</v>
      </c>
      <c r="P263">
        <f>RTD("tos.rtd", , "Mark", A263)</f>
        <v>16.989999999999998</v>
      </c>
    </row>
    <row r="264" spans="1:16" x14ac:dyDescent="0.25">
      <c r="A264" t="s">
        <v>276</v>
      </c>
      <c r="B264">
        <f>RTD("tos.rtd", , "Last", A264)</f>
        <v>69.45</v>
      </c>
      <c r="C264" t="str">
        <f>RTD("tos.rtd", , "STRENGTH_METER", A264)</f>
        <v>Range Bound</v>
      </c>
      <c r="D264" t="str">
        <f>RTD("tos.rtd", , "QUOTE_TREND", A264)</f>
        <v>instrument=KMX</v>
      </c>
      <c r="E264">
        <f>RTD("tos.rtd", , "NET_CHANGE", A264)</f>
        <v>-1.1000000000000001</v>
      </c>
      <c r="F264">
        <f>RTD("tos.rtd", , "BID", A264)</f>
        <v>63.33</v>
      </c>
      <c r="G264">
        <f>RTD("tos.rtd", , "ASK", A264)</f>
        <v>70.7</v>
      </c>
      <c r="H264">
        <f>RTD("tos.rtd", , "BID_SIZE", A264)</f>
        <v>5</v>
      </c>
      <c r="I264">
        <f>RTD("tos.rtd", , "ASK_SIZE", A264)</f>
        <v>10</v>
      </c>
      <c r="J264">
        <f>RTD("tos.rtd", , "VOLUME", A264)</f>
        <v>2525535</v>
      </c>
      <c r="K264">
        <f>RTD("tos.rtd", , "OPEN", A264)</f>
        <v>69.08</v>
      </c>
      <c r="L264">
        <f>RTD("tos.rtd", , "HIGH",A264)</f>
        <v>69.930000000000007</v>
      </c>
      <c r="M264">
        <f>RTD("tos.rtd", , "LOW", A264)</f>
        <v>68.66</v>
      </c>
      <c r="N264">
        <f>RTD("tos.rtd", , "52HIGH", A264)</f>
        <v>77.64</v>
      </c>
      <c r="O264">
        <f>RTD("tos.rtd", , "52LOW", A264)</f>
        <v>54.17</v>
      </c>
      <c r="P264">
        <f>RTD("tos.rtd", , "Mark", A264)</f>
        <v>69.45</v>
      </c>
    </row>
    <row r="265" spans="1:16" x14ac:dyDescent="0.25">
      <c r="A265" t="s">
        <v>277</v>
      </c>
      <c r="B265">
        <f>RTD("tos.rtd", , "Last", A265)</f>
        <v>45.71</v>
      </c>
      <c r="C265" t="str">
        <f>RTD("tos.rtd", , "STRENGTH_METER", A265)</f>
        <v>Range Bound</v>
      </c>
      <c r="D265" t="str">
        <f>RTD("tos.rtd", , "QUOTE_TREND", A265)</f>
        <v>instrument=KO</v>
      </c>
      <c r="E265">
        <f>RTD("tos.rtd", , "NET_CHANGE", A265)</f>
        <v>-0.84</v>
      </c>
      <c r="F265">
        <f>RTD("tos.rtd", , "BID", A265)</f>
        <v>45.7</v>
      </c>
      <c r="G265">
        <f>RTD("tos.rtd", , "ASK", A265)</f>
        <v>45.76</v>
      </c>
      <c r="H265">
        <f>RTD("tos.rtd", , "BID_SIZE", A265)</f>
        <v>4</v>
      </c>
      <c r="I265">
        <f>RTD("tos.rtd", , "ASK_SIZE", A265)</f>
        <v>1</v>
      </c>
      <c r="J265">
        <f>RTD("tos.rtd", , "VOLUME", A265)</f>
        <v>19691440</v>
      </c>
      <c r="K265">
        <f>RTD("tos.rtd", , "OPEN", A265)</f>
        <v>46.34</v>
      </c>
      <c r="L265">
        <f>RTD("tos.rtd", , "HIGH",A265)</f>
        <v>46.38</v>
      </c>
      <c r="M265">
        <f>RTD("tos.rtd", , "LOW", A265)</f>
        <v>45.25</v>
      </c>
      <c r="N265">
        <f>RTD("tos.rtd", , "52HIGH", A265)</f>
        <v>47.48</v>
      </c>
      <c r="O265">
        <f>RTD("tos.rtd", , "52LOW", A265)</f>
        <v>39.880000000000003</v>
      </c>
      <c r="P265">
        <f>RTD("tos.rtd", , "Mark", A265)</f>
        <v>45.71</v>
      </c>
    </row>
    <row r="266" spans="1:16" x14ac:dyDescent="0.25">
      <c r="A266" t="s">
        <v>278</v>
      </c>
      <c r="B266">
        <f>RTD("tos.rtd", , "Last", A266)</f>
        <v>23.41</v>
      </c>
      <c r="C266" t="str">
        <f>RTD("tos.rtd", , "STRENGTH_METER", A266)</f>
        <v>Uptrend</v>
      </c>
      <c r="D266" t="str">
        <f>RTD("tos.rtd", , "QUOTE_TREND", A266)</f>
        <v>instrument=KR</v>
      </c>
      <c r="E266">
        <f>RTD("tos.rtd", , "NET_CHANGE", A266)</f>
        <v>1.1299999999999999</v>
      </c>
      <c r="F266">
        <f>RTD("tos.rtd", , "BID", A266)</f>
        <v>23.36</v>
      </c>
      <c r="G266">
        <f>RTD("tos.rtd", , "ASK", A266)</f>
        <v>23.43</v>
      </c>
      <c r="H266">
        <f>RTD("tos.rtd", , "BID_SIZE", A266)</f>
        <v>26</v>
      </c>
      <c r="I266">
        <f>RTD("tos.rtd", , "ASK_SIZE", A266)</f>
        <v>1</v>
      </c>
      <c r="J266">
        <f>RTD("tos.rtd", , "VOLUME", A266)</f>
        <v>19584147</v>
      </c>
      <c r="K266">
        <f>RTD("tos.rtd", , "OPEN", A266)</f>
        <v>22.33</v>
      </c>
      <c r="L266">
        <f>RTD("tos.rtd", , "HIGH",A266)</f>
        <v>23.47</v>
      </c>
      <c r="M266">
        <f>RTD("tos.rtd", , "LOW", A266)</f>
        <v>22.27</v>
      </c>
      <c r="N266">
        <f>RTD("tos.rtd", , "52HIGH", A266)</f>
        <v>36.44</v>
      </c>
      <c r="O266">
        <f>RTD("tos.rtd", , "52LOW", A266)</f>
        <v>19.690000000000001</v>
      </c>
      <c r="P266">
        <f>RTD("tos.rtd", , "Mark", A266)</f>
        <v>23.41</v>
      </c>
    </row>
    <row r="267" spans="1:16" x14ac:dyDescent="0.25">
      <c r="A267" t="s">
        <v>279</v>
      </c>
      <c r="B267">
        <f>RTD("tos.rtd", , "Last", A267)</f>
        <v>0</v>
      </c>
      <c r="C267" t="str">
        <f>RTD("tos.rtd", , "STRENGTH_METER", A267)</f>
        <v>N/A</v>
      </c>
      <c r="D267" t="str">
        <f>RTD("tos.rtd", , "QUOTE_TREND", A267)</f>
        <v>instrument=KRFT</v>
      </c>
      <c r="E267">
        <f>RTD("tos.rtd", , "NET_CHANGE", A267)</f>
        <v>0</v>
      </c>
      <c r="F267">
        <f>RTD("tos.rtd", , "BID", A267)</f>
        <v>87</v>
      </c>
      <c r="G267">
        <f>RTD("tos.rtd", , "ASK", A267)</f>
        <v>89</v>
      </c>
      <c r="H267">
        <f>RTD("tos.rtd", , "BID_SIZE", A267)</f>
        <v>0</v>
      </c>
      <c r="I267">
        <f>RTD("tos.rtd", , "ASK_SIZE", A267)</f>
        <v>0</v>
      </c>
      <c r="J267">
        <f>RTD("tos.rtd", , "VOLUME", A267)</f>
        <v>0</v>
      </c>
      <c r="K267">
        <f>RTD("tos.rtd", , "OPEN", A267)</f>
        <v>0</v>
      </c>
      <c r="L267">
        <f>RTD("tos.rtd", , "HIGH",A267)</f>
        <v>0</v>
      </c>
      <c r="M267">
        <f>RTD("tos.rtd", , "LOW", A267)</f>
        <v>0</v>
      </c>
      <c r="N267">
        <f>RTD("tos.rtd", , "52HIGH", A267)</f>
        <v>91.32</v>
      </c>
      <c r="O267">
        <f>RTD("tos.rtd", , "52LOW", A267)</f>
        <v>53.33</v>
      </c>
      <c r="P267">
        <f>RTD("tos.rtd", , "Mark", A267)</f>
        <v>87</v>
      </c>
    </row>
    <row r="268" spans="1:16" x14ac:dyDescent="0.25">
      <c r="A268" t="s">
        <v>280</v>
      </c>
      <c r="B268">
        <f>RTD("tos.rtd", , "Last", A268)</f>
        <v>43.72</v>
      </c>
      <c r="C268" t="str">
        <f>RTD("tos.rtd", , "STRENGTH_METER", A268)</f>
        <v>Range Bound</v>
      </c>
      <c r="D268" t="str">
        <f>RTD("tos.rtd", , "QUOTE_TREND", A268)</f>
        <v>instrument=KSS</v>
      </c>
      <c r="E268">
        <f>RTD("tos.rtd", , "NET_CHANGE", A268)</f>
        <v>1.47</v>
      </c>
      <c r="F268">
        <f>RTD("tos.rtd", , "BID", A268)</f>
        <v>43.5</v>
      </c>
      <c r="G268">
        <f>RTD("tos.rtd", , "ASK", A268)</f>
        <v>43.7</v>
      </c>
      <c r="H268">
        <f>RTD("tos.rtd", , "BID_SIZE", A268)</f>
        <v>20</v>
      </c>
      <c r="I268">
        <f>RTD("tos.rtd", , "ASK_SIZE", A268)</f>
        <v>30</v>
      </c>
      <c r="J268">
        <f>RTD("tos.rtd", , "VOLUME", A268)</f>
        <v>4130319</v>
      </c>
      <c r="K268">
        <f>RTD("tos.rtd", , "OPEN", A268)</f>
        <v>42.99</v>
      </c>
      <c r="L268">
        <f>RTD("tos.rtd", , "HIGH",A268)</f>
        <v>43.94</v>
      </c>
      <c r="M268">
        <f>RTD("tos.rtd", , "LOW", A268)</f>
        <v>42.81</v>
      </c>
      <c r="N268">
        <f>RTD("tos.rtd", , "52HIGH", A268)</f>
        <v>59.67</v>
      </c>
      <c r="O268">
        <f>RTD("tos.rtd", , "52LOW", A268)</f>
        <v>35.159999999999997</v>
      </c>
      <c r="P268">
        <f>RTD("tos.rtd", , "Mark", A268)</f>
        <v>43.7</v>
      </c>
    </row>
    <row r="269" spans="1:16" x14ac:dyDescent="0.25">
      <c r="A269" t="s">
        <v>281</v>
      </c>
      <c r="B269">
        <f>RTD("tos.rtd", , "Last", A269)</f>
        <v>49.22</v>
      </c>
      <c r="C269" t="str">
        <f>RTD("tos.rtd", , "STRENGTH_METER", A269)</f>
        <v>Range Bound</v>
      </c>
      <c r="D269" t="str">
        <f>RTD("tos.rtd", , "QUOTE_TREND", A269)</f>
        <v>instrument=L</v>
      </c>
      <c r="E269">
        <f>RTD("tos.rtd", , "NET_CHANGE", A269)</f>
        <v>0.02</v>
      </c>
      <c r="F269">
        <f>RTD("tos.rtd", , "BID", A269)</f>
        <v>38.4</v>
      </c>
      <c r="G269">
        <f>RTD("tos.rtd", , "ASK", A269)</f>
        <v>49.51</v>
      </c>
      <c r="H269">
        <f>RTD("tos.rtd", , "BID_SIZE", A269)</f>
        <v>1</v>
      </c>
      <c r="I269">
        <f>RTD("tos.rtd", , "ASK_SIZE", A269)</f>
        <v>3</v>
      </c>
      <c r="J269">
        <f>RTD("tos.rtd", , "VOLUME", A269)</f>
        <v>1025499</v>
      </c>
      <c r="K269">
        <f>RTD("tos.rtd", , "OPEN", A269)</f>
        <v>49.03</v>
      </c>
      <c r="L269">
        <f>RTD("tos.rtd", , "HIGH",A269)</f>
        <v>49.35</v>
      </c>
      <c r="M269">
        <f>RTD("tos.rtd", , "LOW", A269)</f>
        <v>48.960099999999997</v>
      </c>
      <c r="N269">
        <f>RTD("tos.rtd", , "52HIGH", A269)</f>
        <v>49.99</v>
      </c>
      <c r="O269">
        <f>RTD("tos.rtd", , "52LOW", A269)</f>
        <v>43.37</v>
      </c>
      <c r="P269">
        <f>RTD("tos.rtd", , "Mark", A269)</f>
        <v>49.22</v>
      </c>
    </row>
    <row r="270" spans="1:16" x14ac:dyDescent="0.25">
      <c r="A270" t="s">
        <v>282</v>
      </c>
      <c r="B270">
        <f>RTD("tos.rtd", , "Last", A270)</f>
        <v>46.45</v>
      </c>
      <c r="C270" t="str">
        <f>RTD("tos.rtd", , "STRENGTH_METER", A270)</f>
        <v>Range Bound</v>
      </c>
      <c r="D270" t="str">
        <f>RTD("tos.rtd", , "QUOTE_TREND", A270)</f>
        <v>instrument=LEG</v>
      </c>
      <c r="E270">
        <f>RTD("tos.rtd", , "NET_CHANGE", A270)</f>
        <v>0.46</v>
      </c>
      <c r="F270">
        <f>RTD("tos.rtd", , "BID", A270)</f>
        <v>44</v>
      </c>
      <c r="G270">
        <f>RTD("tos.rtd", , "ASK", A270)</f>
        <v>46.46</v>
      </c>
      <c r="H270">
        <f>RTD("tos.rtd", , "BID_SIZE", A270)</f>
        <v>1</v>
      </c>
      <c r="I270">
        <f>RTD("tos.rtd", , "ASK_SIZE", A270)</f>
        <v>1</v>
      </c>
      <c r="J270">
        <f>RTD("tos.rtd", , "VOLUME", A270)</f>
        <v>687689</v>
      </c>
      <c r="K270">
        <f>RTD("tos.rtd", , "OPEN", A270)</f>
        <v>45.74</v>
      </c>
      <c r="L270">
        <f>RTD("tos.rtd", , "HIGH",A270)</f>
        <v>46.53</v>
      </c>
      <c r="M270">
        <f>RTD("tos.rtd", , "LOW", A270)</f>
        <v>45.74</v>
      </c>
      <c r="N270">
        <f>RTD("tos.rtd", , "52HIGH", A270)</f>
        <v>54.97</v>
      </c>
      <c r="O270">
        <f>RTD("tos.rtd", , "52LOW", A270)</f>
        <v>43.164999999999999</v>
      </c>
      <c r="P270">
        <f>RTD("tos.rtd", , "Mark", A270)</f>
        <v>46.45</v>
      </c>
    </row>
    <row r="271" spans="1:16" x14ac:dyDescent="0.25">
      <c r="A271" t="s">
        <v>283</v>
      </c>
      <c r="B271">
        <f>RTD("tos.rtd", , "Last", A271)</f>
        <v>58.89</v>
      </c>
      <c r="C271" t="str">
        <f>RTD("tos.rtd", , "STRENGTH_METER", A271)</f>
        <v>Range Bound</v>
      </c>
      <c r="D271" t="str">
        <f>RTD("tos.rtd", , "QUOTE_TREND", A271)</f>
        <v>instrument=LEN</v>
      </c>
      <c r="E271">
        <f>RTD("tos.rtd", , "NET_CHANGE", A271)</f>
        <v>0.8</v>
      </c>
      <c r="F271">
        <f>RTD("tos.rtd", , "BID", A271)</f>
        <v>54.6</v>
      </c>
      <c r="G271">
        <f>RTD("tos.rtd", , "ASK", A271)</f>
        <v>58.94</v>
      </c>
      <c r="H271">
        <f>RTD("tos.rtd", , "BID_SIZE", A271)</f>
        <v>5</v>
      </c>
      <c r="I271">
        <f>RTD("tos.rtd", , "ASK_SIZE", A271)</f>
        <v>1</v>
      </c>
      <c r="J271">
        <f>RTD("tos.rtd", , "VOLUME", A271)</f>
        <v>3717643</v>
      </c>
      <c r="K271">
        <f>RTD("tos.rtd", , "OPEN", A271)</f>
        <v>57.92</v>
      </c>
      <c r="L271">
        <f>RTD("tos.rtd", , "HIGH",A271)</f>
        <v>59.1</v>
      </c>
      <c r="M271">
        <f>RTD("tos.rtd", , "LOW", A271)</f>
        <v>57.81</v>
      </c>
      <c r="N271">
        <f>RTD("tos.rtd", , "52HIGH", A271)</f>
        <v>59.32</v>
      </c>
      <c r="O271">
        <f>RTD("tos.rtd", , "52LOW", A271)</f>
        <v>40.823529000000001</v>
      </c>
      <c r="P271">
        <f>RTD("tos.rtd", , "Mark", A271)</f>
        <v>58.89</v>
      </c>
    </row>
    <row r="272" spans="1:16" x14ac:dyDescent="0.25">
      <c r="A272" t="s">
        <v>284</v>
      </c>
      <c r="B272">
        <f>RTD("tos.rtd", , "Last", A272)</f>
        <v>150.36000000000001</v>
      </c>
      <c r="C272" t="str">
        <f>RTD("tos.rtd", , "STRENGTH_METER", A272)</f>
        <v>Range Bound</v>
      </c>
      <c r="D272" t="str">
        <f>RTD("tos.rtd", , "QUOTE_TREND", A272)</f>
        <v>instrument=LH</v>
      </c>
      <c r="E272">
        <f>RTD("tos.rtd", , "NET_CHANGE", A272)</f>
        <v>-0.66</v>
      </c>
      <c r="F272">
        <f>RTD("tos.rtd", , "BID", A272)</f>
        <v>146.75</v>
      </c>
      <c r="G272">
        <f>RTD("tos.rtd", , "ASK", A272)</f>
        <v>151.99</v>
      </c>
      <c r="H272">
        <f>RTD("tos.rtd", , "BID_SIZE", A272)</f>
        <v>2</v>
      </c>
      <c r="I272">
        <f>RTD("tos.rtd", , "ASK_SIZE", A272)</f>
        <v>2</v>
      </c>
      <c r="J272">
        <f>RTD("tos.rtd", , "VOLUME", A272)</f>
        <v>467432</v>
      </c>
      <c r="K272">
        <f>RTD("tos.rtd", , "OPEN", A272)</f>
        <v>150.44</v>
      </c>
      <c r="L272">
        <f>RTD("tos.rtd", , "HIGH",A272)</f>
        <v>151.19</v>
      </c>
      <c r="M272">
        <f>RTD("tos.rtd", , "LOW", A272)</f>
        <v>149.69</v>
      </c>
      <c r="N272">
        <f>RTD("tos.rtd", , "52HIGH", A272)</f>
        <v>164.22</v>
      </c>
      <c r="O272">
        <f>RTD("tos.rtd", , "52LOW", A272)</f>
        <v>123.36</v>
      </c>
      <c r="P272">
        <f>RTD("tos.rtd", , "Mark", A272)</f>
        <v>150.36000000000001</v>
      </c>
    </row>
    <row r="273" spans="1:16" x14ac:dyDescent="0.25">
      <c r="A273" t="s">
        <v>285</v>
      </c>
      <c r="B273">
        <f>RTD("tos.rtd", , "Last", A273)</f>
        <v>3.85</v>
      </c>
      <c r="C273" t="str">
        <f>RTD("tos.rtd", , "STRENGTH_METER", A273)</f>
        <v>N/A</v>
      </c>
      <c r="D273" t="str">
        <f>RTD("tos.rtd", , "QUOTE_TREND", A273)</f>
        <v>instrument=LIFE</v>
      </c>
      <c r="E273">
        <f>RTD("tos.rtd", , "NET_CHANGE", A273)</f>
        <v>0</v>
      </c>
      <c r="F273">
        <f>RTD("tos.rtd", , "BID", A273)</f>
        <v>3.75</v>
      </c>
      <c r="G273">
        <f>RTD("tos.rtd", , "ASK", A273)</f>
        <v>4.1500000000000004</v>
      </c>
      <c r="H273">
        <f>RTD("tos.rtd", , "BID_SIZE", A273)</f>
        <v>2</v>
      </c>
      <c r="I273">
        <f>RTD("tos.rtd", , "ASK_SIZE", A273)</f>
        <v>25</v>
      </c>
      <c r="J273">
        <f>RTD("tos.rtd", , "VOLUME", A273)</f>
        <v>20354</v>
      </c>
      <c r="K273">
        <f>RTD("tos.rtd", , "OPEN", A273)</f>
        <v>3.78</v>
      </c>
      <c r="L273">
        <f>RTD("tos.rtd", , "HIGH",A273)</f>
        <v>3.9</v>
      </c>
      <c r="M273">
        <f>RTD("tos.rtd", , "LOW", A273)</f>
        <v>3.75</v>
      </c>
      <c r="N273">
        <f>RTD("tos.rtd", , "52HIGH", A273)</f>
        <v>6.4958999999999998</v>
      </c>
      <c r="O273">
        <f>RTD("tos.rtd", , "52LOW", A273)</f>
        <v>2.1</v>
      </c>
      <c r="P273">
        <f>RTD("tos.rtd", , "Mark", A273)</f>
        <v>3.85</v>
      </c>
    </row>
    <row r="274" spans="1:16" x14ac:dyDescent="0.25">
      <c r="A274" t="s">
        <v>286</v>
      </c>
      <c r="B274">
        <f>RTD("tos.rtd", , "Last", A274)</f>
        <v>184.39</v>
      </c>
      <c r="C274" t="str">
        <f>RTD("tos.rtd", , "STRENGTH_METER", A274)</f>
        <v>Range Bound</v>
      </c>
      <c r="D274" t="str">
        <f>RTD("tos.rtd", , "QUOTE_TREND", A274)</f>
        <v>instrument=LLL</v>
      </c>
      <c r="E274">
        <f>RTD("tos.rtd", , "NET_CHANGE", A274)</f>
        <v>-0.8</v>
      </c>
      <c r="F274">
        <f>RTD("tos.rtd", , "BID", A274)</f>
        <v>173.46</v>
      </c>
      <c r="G274">
        <f>RTD("tos.rtd", , "ASK", A274)</f>
        <v>195.38</v>
      </c>
      <c r="H274">
        <f>RTD("tos.rtd", , "BID_SIZE", A274)</f>
        <v>1</v>
      </c>
      <c r="I274">
        <f>RTD("tos.rtd", , "ASK_SIZE", A274)</f>
        <v>1</v>
      </c>
      <c r="J274">
        <f>RTD("tos.rtd", , "VOLUME", A274)</f>
        <v>344934</v>
      </c>
      <c r="K274">
        <f>RTD("tos.rtd", , "OPEN", A274)</f>
        <v>184.36</v>
      </c>
      <c r="L274">
        <f>RTD("tos.rtd", , "HIGH",A274)</f>
        <v>186.25</v>
      </c>
      <c r="M274">
        <f>RTD("tos.rtd", , "LOW", A274)</f>
        <v>184.09</v>
      </c>
      <c r="N274">
        <f>RTD("tos.rtd", , "52HIGH", A274)</f>
        <v>192</v>
      </c>
      <c r="O274">
        <f>RTD("tos.rtd", , "52LOW", A274)</f>
        <v>143.54</v>
      </c>
      <c r="P274">
        <f>RTD("tos.rtd", , "Mark", A274)</f>
        <v>184.39</v>
      </c>
    </row>
    <row r="275" spans="1:16" x14ac:dyDescent="0.25">
      <c r="A275" t="s">
        <v>287</v>
      </c>
      <c r="B275">
        <f>RTD("tos.rtd", , "Last", A275)</f>
        <v>0</v>
      </c>
      <c r="C275" t="str">
        <f>RTD("tos.rtd", , "STRENGTH_METER", A275)</f>
        <v>N/A</v>
      </c>
      <c r="D275" t="str">
        <f>RTD("tos.rtd", , "QUOTE_TREND", A275)</f>
        <v>instrument=LLTC</v>
      </c>
      <c r="E275">
        <f>RTD("tos.rtd", , "NET_CHANGE", A275)</f>
        <v>0</v>
      </c>
      <c r="F275">
        <f>RTD("tos.rtd", , "BID", A275)</f>
        <v>65</v>
      </c>
      <c r="G275">
        <f>RTD("tos.rtd", , "ASK", A275)</f>
        <v>65.19</v>
      </c>
      <c r="H275">
        <f>RTD("tos.rtd", , "BID_SIZE", A275)</f>
        <v>0</v>
      </c>
      <c r="I275">
        <f>RTD("tos.rtd", , "ASK_SIZE", A275)</f>
        <v>0</v>
      </c>
      <c r="J275">
        <f>RTD("tos.rtd", , "VOLUME", A275)</f>
        <v>0</v>
      </c>
      <c r="K275">
        <f>RTD("tos.rtd", , "OPEN", A275)</f>
        <v>0</v>
      </c>
      <c r="L275">
        <f>RTD("tos.rtd", , "HIGH",A275)</f>
        <v>0</v>
      </c>
      <c r="M275">
        <f>RTD("tos.rtd", , "LOW", A275)</f>
        <v>0</v>
      </c>
      <c r="N275" t="str">
        <f>RTD("tos.rtd", , "52HIGH", A275)</f>
        <v>N/A</v>
      </c>
      <c r="O275" t="str">
        <f>RTD("tos.rtd", , "52LOW", A275)</f>
        <v>N/A</v>
      </c>
      <c r="P275">
        <f>RTD("tos.rtd", , "Mark", A275)</f>
        <v>65</v>
      </c>
    </row>
    <row r="276" spans="1:16" x14ac:dyDescent="0.25">
      <c r="A276" t="s">
        <v>288</v>
      </c>
      <c r="B276">
        <f>RTD("tos.rtd", , "Last", A276)</f>
        <v>82.89</v>
      </c>
      <c r="C276" t="str">
        <f>RTD("tos.rtd", , "STRENGTH_METER", A276)</f>
        <v>Range Bound</v>
      </c>
      <c r="D276" t="str">
        <f>RTD("tos.rtd", , "QUOTE_TREND", A276)</f>
        <v>instrument=LLY</v>
      </c>
      <c r="E276">
        <f>RTD("tos.rtd", , "NET_CHANGE", A276)</f>
        <v>-0.55000000000000004</v>
      </c>
      <c r="F276">
        <f>RTD("tos.rtd", , "BID", A276)</f>
        <v>82.5</v>
      </c>
      <c r="G276">
        <f>RTD("tos.rtd", , "ASK", A276)</f>
        <v>84.3</v>
      </c>
      <c r="H276">
        <f>RTD("tos.rtd", , "BID_SIZE", A276)</f>
        <v>1</v>
      </c>
      <c r="I276">
        <f>RTD("tos.rtd", , "ASK_SIZE", A276)</f>
        <v>1</v>
      </c>
      <c r="J276">
        <f>RTD("tos.rtd", , "VOLUME", A276)</f>
        <v>4093592</v>
      </c>
      <c r="K276">
        <f>RTD("tos.rtd", , "OPEN", A276)</f>
        <v>83</v>
      </c>
      <c r="L276">
        <f>RTD("tos.rtd", , "HIGH",A276)</f>
        <v>83.48</v>
      </c>
      <c r="M276">
        <f>RTD("tos.rtd", , "LOW", A276)</f>
        <v>82.8</v>
      </c>
      <c r="N276">
        <f>RTD("tos.rtd", , "52HIGH", A276)</f>
        <v>89.09</v>
      </c>
      <c r="O276">
        <f>RTD("tos.rtd", , "52LOW", A276)</f>
        <v>64.180000000000007</v>
      </c>
      <c r="P276">
        <f>RTD("tos.rtd", , "Mark", A276)</f>
        <v>82.89</v>
      </c>
    </row>
    <row r="277" spans="1:16" x14ac:dyDescent="0.25">
      <c r="A277" t="s">
        <v>289</v>
      </c>
      <c r="B277">
        <f>RTD("tos.rtd", , "Last", A277)</f>
        <v>37.82</v>
      </c>
      <c r="C277" t="str">
        <f>RTD("tos.rtd", , "STRENGTH_METER", A277)</f>
        <v>Range Bound</v>
      </c>
      <c r="D277" t="str">
        <f>RTD("tos.rtd", , "QUOTE_TREND", A277)</f>
        <v>instrument=LM</v>
      </c>
      <c r="E277">
        <f>RTD("tos.rtd", , "NET_CHANGE", A277)</f>
        <v>-0.13</v>
      </c>
      <c r="F277">
        <f>RTD("tos.rtd", , "BID", A277)</f>
        <v>36.6</v>
      </c>
      <c r="G277">
        <f>RTD("tos.rtd", , "ASK", A277)</f>
        <v>40.79</v>
      </c>
      <c r="H277">
        <f>RTD("tos.rtd", , "BID_SIZE", A277)</f>
        <v>1</v>
      </c>
      <c r="I277">
        <f>RTD("tos.rtd", , "ASK_SIZE", A277)</f>
        <v>1</v>
      </c>
      <c r="J277">
        <f>RTD("tos.rtd", , "VOLUME", A277)</f>
        <v>972328</v>
      </c>
      <c r="K277">
        <f>RTD("tos.rtd", , "OPEN", A277)</f>
        <v>37.9</v>
      </c>
      <c r="L277">
        <f>RTD("tos.rtd", , "HIGH",A277)</f>
        <v>38.14</v>
      </c>
      <c r="M277">
        <f>RTD("tos.rtd", , "LOW", A277)</f>
        <v>37.65</v>
      </c>
      <c r="N277">
        <f>RTD("tos.rtd", , "52HIGH", A277)</f>
        <v>42.08</v>
      </c>
      <c r="O277">
        <f>RTD("tos.rtd", , "52LOW", A277)</f>
        <v>29.71</v>
      </c>
      <c r="P277">
        <f>RTD("tos.rtd", , "Mark", A277)</f>
        <v>37.82</v>
      </c>
    </row>
    <row r="278" spans="1:16" x14ac:dyDescent="0.25">
      <c r="A278" t="s">
        <v>290</v>
      </c>
      <c r="B278">
        <f>RTD("tos.rtd", , "Last", A278)</f>
        <v>309.7</v>
      </c>
      <c r="C278" t="str">
        <f>RTD("tos.rtd", , "STRENGTH_METER", A278)</f>
        <v>Range Bound</v>
      </c>
      <c r="D278" t="str">
        <f>RTD("tos.rtd", , "QUOTE_TREND", A278)</f>
        <v>instrument=LMT</v>
      </c>
      <c r="E278">
        <f>RTD("tos.rtd", , "NET_CHANGE", A278)</f>
        <v>-2.95</v>
      </c>
      <c r="F278">
        <f>RTD("tos.rtd", , "BID", A278)</f>
        <v>309</v>
      </c>
      <c r="G278">
        <f>RTD("tos.rtd", , "ASK", A278)</f>
        <v>312.88</v>
      </c>
      <c r="H278">
        <f>RTD("tos.rtd", , "BID_SIZE", A278)</f>
        <v>1</v>
      </c>
      <c r="I278">
        <f>RTD("tos.rtd", , "ASK_SIZE", A278)</f>
        <v>1</v>
      </c>
      <c r="J278">
        <f>RTD("tos.rtd", , "VOLUME", A278)</f>
        <v>689475</v>
      </c>
      <c r="K278">
        <f>RTD("tos.rtd", , "OPEN", A278)</f>
        <v>311.58999999999997</v>
      </c>
      <c r="L278">
        <f>RTD("tos.rtd", , "HIGH",A278)</f>
        <v>312.43</v>
      </c>
      <c r="M278">
        <f>RTD("tos.rtd", , "LOW", A278)</f>
        <v>309.5</v>
      </c>
      <c r="N278">
        <f>RTD("tos.rtd", , "52HIGH", A278)</f>
        <v>322.19</v>
      </c>
      <c r="O278">
        <f>RTD("tos.rtd", , "52LOW", A278)</f>
        <v>245.5</v>
      </c>
      <c r="P278">
        <f>RTD("tos.rtd", , "Mark", A278)</f>
        <v>309.7</v>
      </c>
    </row>
    <row r="279" spans="1:16" x14ac:dyDescent="0.25">
      <c r="A279" t="s">
        <v>291</v>
      </c>
      <c r="B279">
        <f>RTD("tos.rtd", , "Last", A279)</f>
        <v>74.28</v>
      </c>
      <c r="C279" t="str">
        <f>RTD("tos.rtd", , "STRENGTH_METER", A279)</f>
        <v>Range Bound</v>
      </c>
      <c r="D279" t="str">
        <f>RTD("tos.rtd", , "QUOTE_TREND", A279)</f>
        <v>instrument=LNC</v>
      </c>
      <c r="E279">
        <f>RTD("tos.rtd", , "NET_CHANGE", A279)</f>
        <v>0.27</v>
      </c>
      <c r="F279">
        <f>RTD("tos.rtd", , "BID", A279)</f>
        <v>53.69</v>
      </c>
      <c r="G279">
        <f>RTD("tos.rtd", , "ASK", A279)</f>
        <v>77.2</v>
      </c>
      <c r="H279">
        <f>RTD("tos.rtd", , "BID_SIZE", A279)</f>
        <v>1</v>
      </c>
      <c r="I279">
        <f>RTD("tos.rtd", , "ASK_SIZE", A279)</f>
        <v>1</v>
      </c>
      <c r="J279">
        <f>RTD("tos.rtd", , "VOLUME", A279)</f>
        <v>1039029</v>
      </c>
      <c r="K279">
        <f>RTD("tos.rtd", , "OPEN", A279)</f>
        <v>73.47</v>
      </c>
      <c r="L279">
        <f>RTD("tos.rtd", , "HIGH",A279)</f>
        <v>74.739999999999995</v>
      </c>
      <c r="M279">
        <f>RTD("tos.rtd", , "LOW", A279)</f>
        <v>73.47</v>
      </c>
      <c r="N279">
        <f>RTD("tos.rtd", , "52HIGH", A279)</f>
        <v>77.454999999999998</v>
      </c>
      <c r="O279">
        <f>RTD("tos.rtd", , "52LOW", A279)</f>
        <v>60.79</v>
      </c>
      <c r="P279">
        <f>RTD("tos.rtd", , "Mark", A279)</f>
        <v>74.28</v>
      </c>
    </row>
    <row r="280" spans="1:16" x14ac:dyDescent="0.25">
      <c r="A280" t="s">
        <v>292</v>
      </c>
      <c r="B280">
        <f>RTD("tos.rtd", , "Last", A280)</f>
        <v>0</v>
      </c>
      <c r="C280" t="str">
        <f>RTD("tos.rtd", , "STRENGTH_METER", A280)</f>
        <v>N/A</v>
      </c>
      <c r="D280" t="str">
        <f>RTD("tos.rtd", , "QUOTE_TREND", A280)</f>
        <v>instrument=LO</v>
      </c>
      <c r="E280">
        <f>RTD("tos.rtd", , "NET_CHANGE", A280)</f>
        <v>0</v>
      </c>
      <c r="F280">
        <f>RTD("tos.rtd", , "BID", A280)</f>
        <v>110.33</v>
      </c>
      <c r="G280">
        <f>RTD("tos.rtd", , "ASK", A280)</f>
        <v>146.41999999999999</v>
      </c>
      <c r="H280">
        <f>RTD("tos.rtd", , "BID_SIZE", A280)</f>
        <v>0</v>
      </c>
      <c r="I280">
        <f>RTD("tos.rtd", , "ASK_SIZE", A280)</f>
        <v>0</v>
      </c>
      <c r="J280">
        <f>RTD("tos.rtd", , "VOLUME", A280)</f>
        <v>0</v>
      </c>
      <c r="K280">
        <f>RTD("tos.rtd", , "OPEN", A280)</f>
        <v>0</v>
      </c>
      <c r="L280">
        <f>RTD("tos.rtd", , "HIGH",A280)</f>
        <v>0</v>
      </c>
      <c r="M280">
        <f>RTD("tos.rtd", , "LOW", A280)</f>
        <v>0</v>
      </c>
      <c r="N280">
        <f>RTD("tos.rtd", , "52HIGH", A280)</f>
        <v>0</v>
      </c>
      <c r="O280">
        <f>RTD("tos.rtd", , "52LOW", A280)</f>
        <v>0</v>
      </c>
      <c r="P280">
        <f>RTD("tos.rtd", , "Mark", A280)</f>
        <v>110.33</v>
      </c>
    </row>
    <row r="281" spans="1:16" x14ac:dyDescent="0.25">
      <c r="A281" t="s">
        <v>293</v>
      </c>
      <c r="B281">
        <f>RTD("tos.rtd", , "Last", A281)</f>
        <v>80.22</v>
      </c>
      <c r="C281" t="str">
        <f>RTD("tos.rtd", , "STRENGTH_METER", A281)</f>
        <v>Range Bound</v>
      </c>
      <c r="D281" t="str">
        <f>RTD("tos.rtd", , "QUOTE_TREND", A281)</f>
        <v>instrument=LOW</v>
      </c>
      <c r="E281">
        <f>RTD("tos.rtd", , "NET_CHANGE", A281)</f>
        <v>0.75</v>
      </c>
      <c r="F281">
        <f>RTD("tos.rtd", , "BID", A281)</f>
        <v>80.05</v>
      </c>
      <c r="G281">
        <f>RTD("tos.rtd", , "ASK", A281)</f>
        <v>80.290000000000006</v>
      </c>
      <c r="H281">
        <f>RTD("tos.rtd", , "BID_SIZE", A281)</f>
        <v>5</v>
      </c>
      <c r="I281">
        <f>RTD("tos.rtd", , "ASK_SIZE", A281)</f>
        <v>1</v>
      </c>
      <c r="J281">
        <f>RTD("tos.rtd", , "VOLUME", A281)</f>
        <v>6332190</v>
      </c>
      <c r="K281">
        <f>RTD("tos.rtd", , "OPEN", A281)</f>
        <v>79.510000000000005</v>
      </c>
      <c r="L281">
        <f>RTD("tos.rtd", , "HIGH",A281)</f>
        <v>80.495000000000005</v>
      </c>
      <c r="M281">
        <f>RTD("tos.rtd", , "LOW", A281)</f>
        <v>79.17</v>
      </c>
      <c r="N281">
        <f>RTD("tos.rtd", , "52HIGH", A281)</f>
        <v>86.25</v>
      </c>
      <c r="O281">
        <f>RTD("tos.rtd", , "52LOW", A281)</f>
        <v>65.12</v>
      </c>
      <c r="P281">
        <f>RTD("tos.rtd", , "Mark", A281)</f>
        <v>80.22</v>
      </c>
    </row>
    <row r="282" spans="1:16" x14ac:dyDescent="0.25">
      <c r="A282" t="s">
        <v>294</v>
      </c>
      <c r="B282">
        <f>RTD("tos.rtd", , "Last", A282)</f>
        <v>210.47</v>
      </c>
      <c r="C282" t="str">
        <f>RTD("tos.rtd", , "STRENGTH_METER", A282)</f>
        <v>Range Bound</v>
      </c>
      <c r="D282" t="str">
        <f>RTD("tos.rtd", , "QUOTE_TREND", A282)</f>
        <v>instrument=LRCX</v>
      </c>
      <c r="E282">
        <f>RTD("tos.rtd", , "NET_CHANGE", A282)</f>
        <v>-2.75</v>
      </c>
      <c r="F282">
        <f>RTD("tos.rtd", , "BID", A282)</f>
        <v>210.56</v>
      </c>
      <c r="G282">
        <f>RTD("tos.rtd", , "ASK", A282)</f>
        <v>211.85</v>
      </c>
      <c r="H282">
        <f>RTD("tos.rtd", , "BID_SIZE", A282)</f>
        <v>10</v>
      </c>
      <c r="I282">
        <f>RTD("tos.rtd", , "ASK_SIZE", A282)</f>
        <v>1</v>
      </c>
      <c r="J282">
        <f>RTD("tos.rtd", , "VOLUME", A282)</f>
        <v>1946353</v>
      </c>
      <c r="K282">
        <f>RTD("tos.rtd", , "OPEN", A282)</f>
        <v>216.87</v>
      </c>
      <c r="L282">
        <f>RTD("tos.rtd", , "HIGH",A282)</f>
        <v>217</v>
      </c>
      <c r="M282">
        <f>RTD("tos.rtd", , "LOW", A282)</f>
        <v>209.55</v>
      </c>
      <c r="N282">
        <f>RTD("tos.rtd", , "52HIGH", A282)</f>
        <v>214.72</v>
      </c>
      <c r="O282">
        <f>RTD("tos.rtd", , "52LOW", A282)</f>
        <v>97.79</v>
      </c>
      <c r="P282">
        <f>RTD("tos.rtd", , "Mark", A282)</f>
        <v>210.56</v>
      </c>
    </row>
    <row r="283" spans="1:16" x14ac:dyDescent="0.25">
      <c r="A283" t="s">
        <v>295</v>
      </c>
      <c r="B283">
        <f>RTD("tos.rtd", , "Last", A283)</f>
        <v>88.68</v>
      </c>
      <c r="C283" t="str">
        <f>RTD("tos.rtd", , "STRENGTH_METER", A283)</f>
        <v>Range Bound</v>
      </c>
      <c r="D283" t="str">
        <f>RTD("tos.rtd", , "QUOTE_TREND", A283)</f>
        <v>instrument=LSI</v>
      </c>
      <c r="E283">
        <f>RTD("tos.rtd", , "NET_CHANGE", A283)</f>
        <v>-1.02</v>
      </c>
      <c r="F283">
        <f>RTD("tos.rtd", , "BID", A283)</f>
        <v>83.67</v>
      </c>
      <c r="G283">
        <f>RTD("tos.rtd", , "ASK", A283)</f>
        <v>93.59</v>
      </c>
      <c r="H283">
        <f>RTD("tos.rtd", , "BID_SIZE", A283)</f>
        <v>1</v>
      </c>
      <c r="I283">
        <f>RTD("tos.rtd", , "ASK_SIZE", A283)</f>
        <v>1</v>
      </c>
      <c r="J283">
        <f>RTD("tos.rtd", , "VOLUME", A283)</f>
        <v>665930</v>
      </c>
      <c r="K283">
        <f>RTD("tos.rtd", , "OPEN", A283)</f>
        <v>89.72</v>
      </c>
      <c r="L283">
        <f>RTD("tos.rtd", , "HIGH",A283)</f>
        <v>89.85</v>
      </c>
      <c r="M283">
        <f>RTD("tos.rtd", , "LOW", A283)</f>
        <v>88.295000000000002</v>
      </c>
      <c r="N283">
        <f>RTD("tos.rtd", , "52HIGH", A283)</f>
        <v>89.72</v>
      </c>
      <c r="O283">
        <f>RTD("tos.rtd", , "52LOW", A283)</f>
        <v>69</v>
      </c>
      <c r="P283">
        <f>RTD("tos.rtd", , "Mark", A283)</f>
        <v>88.68</v>
      </c>
    </row>
    <row r="284" spans="1:16" x14ac:dyDescent="0.25">
      <c r="A284" t="s">
        <v>296</v>
      </c>
      <c r="B284" t="str">
        <f>RTD("tos.rtd", , "Last", A284)</f>
        <v>N/A</v>
      </c>
      <c r="C284" t="str">
        <f>RTD("tos.rtd", , "STRENGTH_METER", A284)</f>
        <v>N/A</v>
      </c>
      <c r="D284" t="str">
        <f>RTD("tos.rtd", , "QUOTE_TREND", A284)</f>
        <v>instrument=LTD</v>
      </c>
      <c r="E284" t="str">
        <f>RTD("tos.rtd", , "NET_CHANGE", A284)</f>
        <v>N/A</v>
      </c>
      <c r="F284" t="str">
        <f>RTD("tos.rtd", , "BID", A284)</f>
        <v>N/A</v>
      </c>
      <c r="G284" t="str">
        <f>RTD("tos.rtd", , "ASK", A284)</f>
        <v>N/A</v>
      </c>
      <c r="H284">
        <f>RTD("tos.rtd", , "BID_SIZE", A284)</f>
        <v>0</v>
      </c>
      <c r="I284">
        <f>RTD("tos.rtd", , "ASK_SIZE", A284)</f>
        <v>0</v>
      </c>
      <c r="J284" t="str">
        <f>RTD("tos.rtd", , "VOLUME", A284)</f>
        <v>N/A</v>
      </c>
      <c r="K284" t="str">
        <f>RTD("tos.rtd", , "OPEN", A284)</f>
        <v>N/A</v>
      </c>
      <c r="L284" t="str">
        <f>RTD("tos.rtd", , "HIGH",A284)</f>
        <v>N/A</v>
      </c>
      <c r="M284" t="str">
        <f>RTD("tos.rtd", , "LOW", A284)</f>
        <v>N/A</v>
      </c>
      <c r="N284" t="str">
        <f>RTD("tos.rtd", , "52HIGH", A284)</f>
        <v>N/A</v>
      </c>
      <c r="O284" t="str">
        <f>RTD("tos.rtd", , "52LOW", A284)</f>
        <v>N/A</v>
      </c>
      <c r="P284" t="str">
        <f>RTD("tos.rtd", , "Mark", A284)</f>
        <v>N/A</v>
      </c>
    </row>
    <row r="285" spans="1:16" x14ac:dyDescent="0.25">
      <c r="A285" t="s">
        <v>297</v>
      </c>
      <c r="B285">
        <f>RTD("tos.rtd", , "Last", A285)</f>
        <v>25.13</v>
      </c>
      <c r="C285" t="str">
        <f>RTD("tos.rtd", , "STRENGTH_METER", A285)</f>
        <v>Range Bound</v>
      </c>
      <c r="D285" t="str">
        <f>RTD("tos.rtd", , "QUOTE_TREND", A285)</f>
        <v>instrument=LUK</v>
      </c>
      <c r="E285">
        <f>RTD("tos.rtd", , "NET_CHANGE", A285)</f>
        <v>0.08</v>
      </c>
      <c r="F285">
        <f>RTD("tos.rtd", , "BID", A285)</f>
        <v>22</v>
      </c>
      <c r="G285">
        <f>RTD("tos.rtd", , "ASK", A285)</f>
        <v>25.56</v>
      </c>
      <c r="H285">
        <f>RTD("tos.rtd", , "BID_SIZE", A285)</f>
        <v>1</v>
      </c>
      <c r="I285">
        <f>RTD("tos.rtd", , "ASK_SIZE", A285)</f>
        <v>2</v>
      </c>
      <c r="J285">
        <f>RTD("tos.rtd", , "VOLUME", A285)</f>
        <v>1390188</v>
      </c>
      <c r="K285">
        <f>RTD("tos.rtd", , "OPEN", A285)</f>
        <v>24.94</v>
      </c>
      <c r="L285">
        <f>RTD("tos.rtd", , "HIGH",A285)</f>
        <v>25.315000000000001</v>
      </c>
      <c r="M285">
        <f>RTD("tos.rtd", , "LOW", A285)</f>
        <v>24.92</v>
      </c>
      <c r="N285">
        <f>RTD("tos.rtd", , "52HIGH", A285)</f>
        <v>27.335000000000001</v>
      </c>
      <c r="O285">
        <f>RTD("tos.rtd", , "52LOW", A285)</f>
        <v>20.613</v>
      </c>
      <c r="P285">
        <f>RTD("tos.rtd", , "Mark", A285)</f>
        <v>25.13</v>
      </c>
    </row>
    <row r="286" spans="1:16" x14ac:dyDescent="0.25">
      <c r="A286" t="s">
        <v>298</v>
      </c>
      <c r="B286">
        <f>RTD("tos.rtd", , "Last", A286)</f>
        <v>54.71</v>
      </c>
      <c r="C286" t="str">
        <f>RTD("tos.rtd", , "STRENGTH_METER", A286)</f>
        <v>Range Bound</v>
      </c>
      <c r="D286" t="str">
        <f>RTD("tos.rtd", , "QUOTE_TREND", A286)</f>
        <v>instrument=LUV</v>
      </c>
      <c r="E286">
        <f>RTD("tos.rtd", , "NET_CHANGE", A286)</f>
        <v>-0.56000000000000005</v>
      </c>
      <c r="F286">
        <f>RTD("tos.rtd", , "BID", A286)</f>
        <v>54.56</v>
      </c>
      <c r="G286">
        <f>RTD("tos.rtd", , "ASK", A286)</f>
        <v>54.79</v>
      </c>
      <c r="H286">
        <f>RTD("tos.rtd", , "BID_SIZE", A286)</f>
        <v>3</v>
      </c>
      <c r="I286">
        <f>RTD("tos.rtd", , "ASK_SIZE", A286)</f>
        <v>3</v>
      </c>
      <c r="J286">
        <f>RTD("tos.rtd", , "VOLUME", A286)</f>
        <v>3102518</v>
      </c>
      <c r="K286">
        <f>RTD("tos.rtd", , "OPEN", A286)</f>
        <v>55.01</v>
      </c>
      <c r="L286">
        <f>RTD("tos.rtd", , "HIGH",A286)</f>
        <v>55.17</v>
      </c>
      <c r="M286">
        <f>RTD("tos.rtd", , "LOW", A286)</f>
        <v>54.3</v>
      </c>
      <c r="N286">
        <f>RTD("tos.rtd", , "52HIGH", A286)</f>
        <v>64.39</v>
      </c>
      <c r="O286">
        <f>RTD("tos.rtd", , "52LOW", A286)</f>
        <v>44.7</v>
      </c>
      <c r="P286">
        <f>RTD("tos.rtd", , "Mark", A286)</f>
        <v>54.71</v>
      </c>
    </row>
    <row r="287" spans="1:16" x14ac:dyDescent="0.25">
      <c r="A287" t="s">
        <v>299</v>
      </c>
      <c r="B287">
        <f>RTD("tos.rtd", , "Last", A287)</f>
        <v>103.9</v>
      </c>
      <c r="C287" t="str">
        <f>RTD("tos.rtd", , "STRENGTH_METER", A287)</f>
        <v>Range Bound</v>
      </c>
      <c r="D287" t="str">
        <f>RTD("tos.rtd", , "QUOTE_TREND", A287)</f>
        <v>instrument=LYB</v>
      </c>
      <c r="E287">
        <f>RTD("tos.rtd", , "NET_CHANGE", A287)</f>
        <v>0.7</v>
      </c>
      <c r="F287">
        <f>RTD("tos.rtd", , "BID", A287)</f>
        <v>101.28</v>
      </c>
      <c r="G287">
        <f>RTD("tos.rtd", , "ASK", A287)</f>
        <v>105.97</v>
      </c>
      <c r="H287">
        <f>RTD("tos.rtd", , "BID_SIZE", A287)</f>
        <v>2</v>
      </c>
      <c r="I287">
        <f>RTD("tos.rtd", , "ASK_SIZE", A287)</f>
        <v>2</v>
      </c>
      <c r="J287">
        <f>RTD("tos.rtd", , "VOLUME", A287)</f>
        <v>1401905</v>
      </c>
      <c r="K287">
        <f>RTD("tos.rtd", , "OPEN", A287)</f>
        <v>103.05</v>
      </c>
      <c r="L287">
        <f>RTD("tos.rtd", , "HIGH",A287)</f>
        <v>104.65</v>
      </c>
      <c r="M287">
        <f>RTD("tos.rtd", , "LOW", A287)</f>
        <v>102.52</v>
      </c>
      <c r="N287">
        <f>RTD("tos.rtd", , "52HIGH", A287)</f>
        <v>107.83</v>
      </c>
      <c r="O287">
        <f>RTD("tos.rtd", , "52LOW", A287)</f>
        <v>78.010000000000005</v>
      </c>
      <c r="P287">
        <f>RTD("tos.rtd", , "Mark", A287)</f>
        <v>103.9</v>
      </c>
    </row>
    <row r="288" spans="1:16" x14ac:dyDescent="0.25">
      <c r="A288" t="s">
        <v>300</v>
      </c>
      <c r="B288">
        <f>RTD("tos.rtd", , "Last", A288)</f>
        <v>20.350000000000001</v>
      </c>
      <c r="C288" t="str">
        <f>RTD("tos.rtd", , "STRENGTH_METER", A288)</f>
        <v>Range Bound</v>
      </c>
      <c r="D288" t="str">
        <f>RTD("tos.rtd", , "QUOTE_TREND", A288)</f>
        <v>instrument=M</v>
      </c>
      <c r="E288">
        <f>RTD("tos.rtd", , "NET_CHANGE", A288)</f>
        <v>0.1</v>
      </c>
      <c r="F288">
        <f>RTD("tos.rtd", , "BID", A288)</f>
        <v>20.3</v>
      </c>
      <c r="G288">
        <f>RTD("tos.rtd", , "ASK", A288)</f>
        <v>20.350000000000001</v>
      </c>
      <c r="H288">
        <f>RTD("tos.rtd", , "BID_SIZE", A288)</f>
        <v>11</v>
      </c>
      <c r="I288">
        <f>RTD("tos.rtd", , "ASK_SIZE", A288)</f>
        <v>5</v>
      </c>
      <c r="J288">
        <f>RTD("tos.rtd", , "VOLUME", A288)</f>
        <v>13958388</v>
      </c>
      <c r="K288">
        <f>RTD("tos.rtd", , "OPEN", A288)</f>
        <v>20.68</v>
      </c>
      <c r="L288">
        <f>RTD("tos.rtd", , "HIGH",A288)</f>
        <v>20.94</v>
      </c>
      <c r="M288">
        <f>RTD("tos.rtd", , "LOW", A288)</f>
        <v>20.234999999999999</v>
      </c>
      <c r="N288">
        <f>RTD("tos.rtd", , "52HIGH", A288)</f>
        <v>45.41</v>
      </c>
      <c r="O288">
        <f>RTD("tos.rtd", , "52LOW", A288)</f>
        <v>17.405000000000001</v>
      </c>
      <c r="P288">
        <f>RTD("tos.rtd", , "Mark", A288)</f>
        <v>20.350000000000001</v>
      </c>
    </row>
    <row r="289" spans="1:16" x14ac:dyDescent="0.25">
      <c r="A289" t="s">
        <v>301</v>
      </c>
      <c r="B289">
        <f>RTD("tos.rtd", , "Last", A289)</f>
        <v>149.02000000000001</v>
      </c>
      <c r="C289" t="str">
        <f>RTD("tos.rtd", , "STRENGTH_METER", A289)</f>
        <v>Range Bound</v>
      </c>
      <c r="D289" t="str">
        <f>RTD("tos.rtd", , "QUOTE_TREND", A289)</f>
        <v>instrument=MA</v>
      </c>
      <c r="E289">
        <f>RTD("tos.rtd", , "NET_CHANGE", A289)</f>
        <v>-1.31</v>
      </c>
      <c r="F289">
        <f>RTD("tos.rtd", , "BID", A289)</f>
        <v>148.1</v>
      </c>
      <c r="G289">
        <f>RTD("tos.rtd", , "ASK", A289)</f>
        <v>149.02000000000001</v>
      </c>
      <c r="H289">
        <f>RTD("tos.rtd", , "BID_SIZE", A289)</f>
        <v>1</v>
      </c>
      <c r="I289">
        <f>RTD("tos.rtd", , "ASK_SIZE", A289)</f>
        <v>3</v>
      </c>
      <c r="J289">
        <f>RTD("tos.rtd", , "VOLUME", A289)</f>
        <v>3158024</v>
      </c>
      <c r="K289">
        <f>RTD("tos.rtd", , "OPEN", A289)</f>
        <v>149.33000000000001</v>
      </c>
      <c r="L289">
        <f>RTD("tos.rtd", , "HIGH",A289)</f>
        <v>149.52000000000001</v>
      </c>
      <c r="M289">
        <f>RTD("tos.rtd", , "LOW", A289)</f>
        <v>148.28</v>
      </c>
      <c r="N289">
        <f>RTD("tos.rtd", , "52HIGH", A289)</f>
        <v>152</v>
      </c>
      <c r="O289">
        <f>RTD("tos.rtd", , "52LOW", A289)</f>
        <v>99.51</v>
      </c>
      <c r="P289">
        <f>RTD("tos.rtd", , "Mark", A289)</f>
        <v>149.02000000000001</v>
      </c>
    </row>
    <row r="290" spans="1:16" x14ac:dyDescent="0.25">
      <c r="A290" t="s">
        <v>302</v>
      </c>
      <c r="B290">
        <f>RTD("tos.rtd", , "Last", A290)</f>
        <v>64.209999999999994</v>
      </c>
      <c r="C290" t="str">
        <f>RTD("tos.rtd", , "STRENGTH_METER", A290)</f>
        <v>Uptrend</v>
      </c>
      <c r="D290" t="str">
        <f>RTD("tos.rtd", , "QUOTE_TREND", A290)</f>
        <v>instrument=MAC</v>
      </c>
      <c r="E290">
        <f>RTD("tos.rtd", , "NET_CHANGE", A290)</f>
        <v>-0.45</v>
      </c>
      <c r="F290">
        <f>RTD("tos.rtd", , "BID", A290)</f>
        <v>63.1</v>
      </c>
      <c r="G290">
        <f>RTD("tos.rtd", , "ASK", A290)</f>
        <v>64.33</v>
      </c>
      <c r="H290">
        <f>RTD("tos.rtd", , "BID_SIZE", A290)</f>
        <v>1</v>
      </c>
      <c r="I290">
        <f>RTD("tos.rtd", , "ASK_SIZE", A290)</f>
        <v>1</v>
      </c>
      <c r="J290">
        <f>RTD("tos.rtd", , "VOLUME", A290)</f>
        <v>2187175</v>
      </c>
      <c r="K290">
        <f>RTD("tos.rtd", , "OPEN", A290)</f>
        <v>64.72</v>
      </c>
      <c r="L290">
        <f>RTD("tos.rtd", , "HIGH",A290)</f>
        <v>65.28</v>
      </c>
      <c r="M290">
        <f>RTD("tos.rtd", , "LOW", A290)</f>
        <v>63.66</v>
      </c>
      <c r="N290">
        <f>RTD("tos.rtd", , "52HIGH", A290)</f>
        <v>73.34</v>
      </c>
      <c r="O290">
        <f>RTD("tos.rtd", , "52LOW", A290)</f>
        <v>52.12</v>
      </c>
      <c r="P290">
        <f>RTD("tos.rtd", , "Mark", A290)</f>
        <v>64.209999999999994</v>
      </c>
    </row>
    <row r="291" spans="1:16" x14ac:dyDescent="0.25">
      <c r="A291" t="s">
        <v>303</v>
      </c>
      <c r="B291">
        <f>RTD("tos.rtd", , "Last", A291)</f>
        <v>125.48</v>
      </c>
      <c r="C291" t="str">
        <f>RTD("tos.rtd", , "STRENGTH_METER", A291)</f>
        <v>Range Bound</v>
      </c>
      <c r="D291" t="str">
        <f>RTD("tos.rtd", , "QUOTE_TREND", A291)</f>
        <v>instrument=MAR</v>
      </c>
      <c r="E291">
        <f>RTD("tos.rtd", , "NET_CHANGE", A291)</f>
        <v>1.1000000000000001</v>
      </c>
      <c r="F291">
        <f>RTD("tos.rtd", , "BID", A291)</f>
        <v>122.56</v>
      </c>
      <c r="G291">
        <f>RTD("tos.rtd", , "ASK", A291)</f>
        <v>126.49</v>
      </c>
      <c r="H291">
        <f>RTD("tos.rtd", , "BID_SIZE", A291)</f>
        <v>2</v>
      </c>
      <c r="I291">
        <f>RTD("tos.rtd", , "ASK_SIZE", A291)</f>
        <v>2</v>
      </c>
      <c r="J291">
        <f>RTD("tos.rtd", , "VOLUME", A291)</f>
        <v>3597277</v>
      </c>
      <c r="K291">
        <f>RTD("tos.rtd", , "OPEN", A291)</f>
        <v>123.98</v>
      </c>
      <c r="L291">
        <f>RTD("tos.rtd", , "HIGH",A291)</f>
        <v>125.64</v>
      </c>
      <c r="M291">
        <f>RTD("tos.rtd", , "LOW", A291)</f>
        <v>123.77</v>
      </c>
      <c r="N291">
        <f>RTD("tos.rtd", , "52HIGH", A291)</f>
        <v>124.42</v>
      </c>
      <c r="O291">
        <f>RTD("tos.rtd", , "52LOW", A291)</f>
        <v>76.88</v>
      </c>
      <c r="P291">
        <f>RTD("tos.rtd", , "Mark", A291)</f>
        <v>125.48</v>
      </c>
    </row>
    <row r="292" spans="1:16" x14ac:dyDescent="0.25">
      <c r="A292" t="s">
        <v>304</v>
      </c>
      <c r="B292">
        <f>RTD("tos.rtd", , "Last", A292)</f>
        <v>39.36</v>
      </c>
      <c r="C292" t="str">
        <f>RTD("tos.rtd", , "STRENGTH_METER", A292)</f>
        <v>Range Bound</v>
      </c>
      <c r="D292" t="str">
        <f>RTD("tos.rtd", , "QUOTE_TREND", A292)</f>
        <v>instrument=MAS</v>
      </c>
      <c r="E292">
        <f>RTD("tos.rtd", , "NET_CHANGE", A292)</f>
        <v>0.22</v>
      </c>
      <c r="F292">
        <f>RTD("tos.rtd", , "BID", A292)</f>
        <v>38.700000000000003</v>
      </c>
      <c r="G292">
        <f>RTD("tos.rtd", , "ASK", A292)</f>
        <v>40</v>
      </c>
      <c r="H292">
        <f>RTD("tos.rtd", , "BID_SIZE", A292)</f>
        <v>5</v>
      </c>
      <c r="I292">
        <f>RTD("tos.rtd", , "ASK_SIZE", A292)</f>
        <v>1</v>
      </c>
      <c r="J292">
        <f>RTD("tos.rtd", , "VOLUME", A292)</f>
        <v>1393833</v>
      </c>
      <c r="K292">
        <f>RTD("tos.rtd", , "OPEN", A292)</f>
        <v>38.99</v>
      </c>
      <c r="L292">
        <f>RTD("tos.rtd", , "HIGH",A292)</f>
        <v>39.619999999999997</v>
      </c>
      <c r="M292">
        <f>RTD("tos.rtd", , "LOW", A292)</f>
        <v>38.869999999999997</v>
      </c>
      <c r="N292">
        <f>RTD("tos.rtd", , "52HIGH", A292)</f>
        <v>41.1</v>
      </c>
      <c r="O292">
        <f>RTD("tos.rtd", , "52LOW", A292)</f>
        <v>30.08</v>
      </c>
      <c r="P292">
        <f>RTD("tos.rtd", , "Mark", A292)</f>
        <v>39.36</v>
      </c>
    </row>
    <row r="293" spans="1:16" x14ac:dyDescent="0.25">
      <c r="A293" t="s">
        <v>305</v>
      </c>
      <c r="B293">
        <f>RTD("tos.rtd", , "Last", A293)</f>
        <v>18.68</v>
      </c>
      <c r="C293" t="str">
        <f>RTD("tos.rtd", , "STRENGTH_METER", A293)</f>
        <v>Uptrend</v>
      </c>
      <c r="D293" t="str">
        <f>RTD("tos.rtd", , "QUOTE_TREND", A293)</f>
        <v>instrument=MAT</v>
      </c>
      <c r="E293">
        <f>RTD("tos.rtd", , "NET_CHANGE", A293)</f>
        <v>0.46</v>
      </c>
      <c r="F293">
        <f>RTD("tos.rtd", , "BID", A293)</f>
        <v>18.62</v>
      </c>
      <c r="G293">
        <f>RTD("tos.rtd", , "ASK", A293)</f>
        <v>18.7</v>
      </c>
      <c r="H293">
        <f>RTD("tos.rtd", , "BID_SIZE", A293)</f>
        <v>1</v>
      </c>
      <c r="I293">
        <f>RTD("tos.rtd", , "ASK_SIZE", A293)</f>
        <v>10</v>
      </c>
      <c r="J293">
        <f>RTD("tos.rtd", , "VOLUME", A293)</f>
        <v>10392963</v>
      </c>
      <c r="K293">
        <f>RTD("tos.rtd", , "OPEN", A293)</f>
        <v>18.18</v>
      </c>
      <c r="L293">
        <f>RTD("tos.rtd", , "HIGH",A293)</f>
        <v>18.805</v>
      </c>
      <c r="M293">
        <f>RTD("tos.rtd", , "LOW", A293)</f>
        <v>18.11</v>
      </c>
      <c r="N293">
        <f>RTD("tos.rtd", , "52HIGH", A293)</f>
        <v>32.479999999999997</v>
      </c>
      <c r="O293">
        <f>RTD("tos.rtd", , "52LOW", A293)</f>
        <v>12.71</v>
      </c>
      <c r="P293">
        <f>RTD("tos.rtd", , "Mark", A293)</f>
        <v>18.68</v>
      </c>
    </row>
    <row r="294" spans="1:16" x14ac:dyDescent="0.25">
      <c r="A294" t="s">
        <v>306</v>
      </c>
      <c r="B294">
        <f>RTD("tos.rtd", , "Last", A294)</f>
        <v>166.72</v>
      </c>
      <c r="C294" t="str">
        <f>RTD("tos.rtd", , "STRENGTH_METER", A294)</f>
        <v>Range Bound</v>
      </c>
      <c r="D294" t="str">
        <f>RTD("tos.rtd", , "QUOTE_TREND", A294)</f>
        <v>instrument=MCD</v>
      </c>
      <c r="E294">
        <f>RTD("tos.rtd", , "NET_CHANGE", A294)</f>
        <v>-1.37</v>
      </c>
      <c r="F294">
        <f>RTD("tos.rtd", , "BID", A294)</f>
        <v>165.86</v>
      </c>
      <c r="G294">
        <f>RTD("tos.rtd", , "ASK", A294)</f>
        <v>166.81</v>
      </c>
      <c r="H294">
        <f>RTD("tos.rtd", , "BID_SIZE", A294)</f>
        <v>1</v>
      </c>
      <c r="I294">
        <f>RTD("tos.rtd", , "ASK_SIZE", A294)</f>
        <v>2</v>
      </c>
      <c r="J294">
        <f>RTD("tos.rtd", , "VOLUME", A294)</f>
        <v>2215966</v>
      </c>
      <c r="K294">
        <f>RTD("tos.rtd", , "OPEN", A294)</f>
        <v>167.54</v>
      </c>
      <c r="L294">
        <f>RTD("tos.rtd", , "HIGH",A294)</f>
        <v>167.70009999999999</v>
      </c>
      <c r="M294">
        <f>RTD("tos.rtd", , "LOW", A294)</f>
        <v>166.16</v>
      </c>
      <c r="N294">
        <f>RTD("tos.rtd", , "52HIGH", A294)</f>
        <v>170.92</v>
      </c>
      <c r="O294">
        <f>RTD("tos.rtd", , "52LOW", A294)</f>
        <v>117.71</v>
      </c>
      <c r="P294">
        <f>RTD("tos.rtd", , "Mark", A294)</f>
        <v>166.72</v>
      </c>
    </row>
    <row r="295" spans="1:16" x14ac:dyDescent="0.25">
      <c r="A295" t="s">
        <v>307</v>
      </c>
      <c r="B295">
        <f>RTD("tos.rtd", , "Last", A295)</f>
        <v>91.3</v>
      </c>
      <c r="C295" t="str">
        <f>RTD("tos.rtd", , "STRENGTH_METER", A295)</f>
        <v>Range Bound</v>
      </c>
      <c r="D295" t="str">
        <f>RTD("tos.rtd", , "QUOTE_TREND", A295)</f>
        <v>instrument=MCHP</v>
      </c>
      <c r="E295">
        <f>RTD("tos.rtd", , "NET_CHANGE", A295)</f>
        <v>0.52</v>
      </c>
      <c r="F295">
        <f>RTD("tos.rtd", , "BID", A295)</f>
        <v>90.34</v>
      </c>
      <c r="G295">
        <f>RTD("tos.rtd", , "ASK", A295)</f>
        <v>92.99</v>
      </c>
      <c r="H295">
        <f>RTD("tos.rtd", , "BID_SIZE", A295)</f>
        <v>2</v>
      </c>
      <c r="I295">
        <f>RTD("tos.rtd", , "ASK_SIZE", A295)</f>
        <v>2</v>
      </c>
      <c r="J295">
        <f>RTD("tos.rtd", , "VOLUME", A295)</f>
        <v>2097014</v>
      </c>
      <c r="K295">
        <f>RTD("tos.rtd", , "OPEN", A295)</f>
        <v>91.02</v>
      </c>
      <c r="L295">
        <f>RTD("tos.rtd", , "HIGH",A295)</f>
        <v>91.59</v>
      </c>
      <c r="M295">
        <f>RTD("tos.rtd", , "LOW", A295)</f>
        <v>90.64</v>
      </c>
      <c r="N295">
        <f>RTD("tos.rtd", , "52HIGH", A295)</f>
        <v>95.92</v>
      </c>
      <c r="O295">
        <f>RTD("tos.rtd", , "52LOW", A295)</f>
        <v>60.77</v>
      </c>
      <c r="P295">
        <f>RTD("tos.rtd", , "Mark", A295)</f>
        <v>91.3</v>
      </c>
    </row>
    <row r="296" spans="1:16" x14ac:dyDescent="0.25">
      <c r="A296" t="s">
        <v>308</v>
      </c>
      <c r="B296">
        <f>RTD("tos.rtd", , "Last", A296)</f>
        <v>142.13</v>
      </c>
      <c r="C296" t="str">
        <f>RTD("tos.rtd", , "STRENGTH_METER", A296)</f>
        <v>Range Bound</v>
      </c>
      <c r="D296" t="str">
        <f>RTD("tos.rtd", , "QUOTE_TREND", A296)</f>
        <v>instrument=MCK</v>
      </c>
      <c r="E296">
        <f>RTD("tos.rtd", , "NET_CHANGE", A296)</f>
        <v>-0.56999999999999995</v>
      </c>
      <c r="F296">
        <f>RTD("tos.rtd", , "BID", A296)</f>
        <v>130</v>
      </c>
      <c r="G296">
        <f>RTD("tos.rtd", , "ASK", A296)</f>
        <v>145</v>
      </c>
      <c r="H296">
        <f>RTD("tos.rtd", , "BID_SIZE", A296)</f>
        <v>1</v>
      </c>
      <c r="I296">
        <f>RTD("tos.rtd", , "ASK_SIZE", A296)</f>
        <v>1</v>
      </c>
      <c r="J296">
        <f>RTD("tos.rtd", , "VOLUME", A296)</f>
        <v>1830629</v>
      </c>
      <c r="K296">
        <f>RTD("tos.rtd", , "OPEN", A296)</f>
        <v>141.71</v>
      </c>
      <c r="L296">
        <f>RTD("tos.rtd", , "HIGH",A296)</f>
        <v>142.84</v>
      </c>
      <c r="M296">
        <f>RTD("tos.rtd", , "LOW", A296)</f>
        <v>140.88999999999999</v>
      </c>
      <c r="N296">
        <f>RTD("tos.rtd", , "52HIGH", A296)</f>
        <v>169.29</v>
      </c>
      <c r="O296">
        <f>RTD("tos.rtd", , "52LOW", A296)</f>
        <v>133.82</v>
      </c>
      <c r="P296">
        <f>RTD("tos.rtd", , "Mark", A296)</f>
        <v>142.13</v>
      </c>
    </row>
    <row r="297" spans="1:16" x14ac:dyDescent="0.25">
      <c r="A297" t="s">
        <v>309</v>
      </c>
      <c r="B297">
        <f>RTD("tos.rtd", , "Last", A297)</f>
        <v>146.79</v>
      </c>
      <c r="C297" t="str">
        <f>RTD("tos.rtd", , "STRENGTH_METER", A297)</f>
        <v>Range Bound</v>
      </c>
      <c r="D297" t="str">
        <f>RTD("tos.rtd", , "QUOTE_TREND", A297)</f>
        <v>instrument=MCO</v>
      </c>
      <c r="E297">
        <f>RTD("tos.rtd", , "NET_CHANGE", A297)</f>
        <v>2.7</v>
      </c>
      <c r="F297">
        <f>RTD("tos.rtd", , "BID", A297)</f>
        <v>113</v>
      </c>
      <c r="G297">
        <f>RTD("tos.rtd", , "ASK", A297)</f>
        <v>150</v>
      </c>
      <c r="H297">
        <f>RTD("tos.rtd", , "BID_SIZE", A297)</f>
        <v>2</v>
      </c>
      <c r="I297">
        <f>RTD("tos.rtd", , "ASK_SIZE", A297)</f>
        <v>1</v>
      </c>
      <c r="J297">
        <f>RTD("tos.rtd", , "VOLUME", A297)</f>
        <v>941903</v>
      </c>
      <c r="K297">
        <f>RTD("tos.rtd", , "OPEN", A297)</f>
        <v>144.66999999999999</v>
      </c>
      <c r="L297">
        <f>RTD("tos.rtd", , "HIGH",A297)</f>
        <v>147.33000000000001</v>
      </c>
      <c r="M297">
        <f>RTD("tos.rtd", , "LOW", A297)</f>
        <v>143.61000000000001</v>
      </c>
      <c r="N297">
        <f>RTD("tos.rtd", , "52HIGH", A297)</f>
        <v>148</v>
      </c>
      <c r="O297">
        <f>RTD("tos.rtd", , "52LOW", A297)</f>
        <v>93.51</v>
      </c>
      <c r="P297">
        <f>RTD("tos.rtd", , "Mark", A297)</f>
        <v>146.79</v>
      </c>
    </row>
    <row r="298" spans="1:16" x14ac:dyDescent="0.25">
      <c r="A298" t="s">
        <v>310</v>
      </c>
      <c r="B298">
        <f>RTD("tos.rtd", , "Last", A298)</f>
        <v>42.3</v>
      </c>
      <c r="C298" t="str">
        <f>RTD("tos.rtd", , "STRENGTH_METER", A298)</f>
        <v>Range Bound</v>
      </c>
      <c r="D298" t="str">
        <f>RTD("tos.rtd", , "QUOTE_TREND", A298)</f>
        <v>instrument=MDLZ</v>
      </c>
      <c r="E298">
        <f>RTD("tos.rtd", , "NET_CHANGE", A298)</f>
        <v>0.11</v>
      </c>
      <c r="F298">
        <f>RTD("tos.rtd", , "BID", A298)</f>
        <v>42.22</v>
      </c>
      <c r="G298">
        <f>RTD("tos.rtd", , "ASK", A298)</f>
        <v>42.35</v>
      </c>
      <c r="H298">
        <f>RTD("tos.rtd", , "BID_SIZE", A298)</f>
        <v>1</v>
      </c>
      <c r="I298">
        <f>RTD("tos.rtd", , "ASK_SIZE", A298)</f>
        <v>1</v>
      </c>
      <c r="J298">
        <f>RTD("tos.rtd", , "VOLUME", A298)</f>
        <v>9167343</v>
      </c>
      <c r="K298">
        <f>RTD("tos.rtd", , "OPEN", A298)</f>
        <v>42.25</v>
      </c>
      <c r="L298">
        <f>RTD("tos.rtd", , "HIGH",A298)</f>
        <v>42.765000000000001</v>
      </c>
      <c r="M298">
        <f>RTD("tos.rtd", , "LOW", A298)</f>
        <v>42.15</v>
      </c>
      <c r="N298">
        <f>RTD("tos.rtd", , "52HIGH", A298)</f>
        <v>47.23</v>
      </c>
      <c r="O298">
        <f>RTD("tos.rtd", , "52LOW", A298)</f>
        <v>39.19</v>
      </c>
      <c r="P298">
        <f>RTD("tos.rtd", , "Mark", A298)</f>
        <v>42.3</v>
      </c>
    </row>
    <row r="299" spans="1:16" x14ac:dyDescent="0.25">
      <c r="A299" t="s">
        <v>311</v>
      </c>
      <c r="B299">
        <f>RTD("tos.rtd", , "Last", A299)</f>
        <v>79.489999999999995</v>
      </c>
      <c r="C299" t="str">
        <f>RTD("tos.rtd", , "STRENGTH_METER", A299)</f>
        <v>Range Bound</v>
      </c>
      <c r="D299" t="str">
        <f>RTD("tos.rtd", , "QUOTE_TREND", A299)</f>
        <v>instrument=MDT</v>
      </c>
      <c r="E299">
        <f>RTD("tos.rtd", , "NET_CHANGE", A299)</f>
        <v>0.23</v>
      </c>
      <c r="F299">
        <f>RTD("tos.rtd", , "BID", A299)</f>
        <v>79.290000000000006</v>
      </c>
      <c r="G299">
        <f>RTD("tos.rtd", , "ASK", A299)</f>
        <v>79.56</v>
      </c>
      <c r="H299">
        <f>RTD("tos.rtd", , "BID_SIZE", A299)</f>
        <v>1</v>
      </c>
      <c r="I299">
        <f>RTD("tos.rtd", , "ASK_SIZE", A299)</f>
        <v>1</v>
      </c>
      <c r="J299">
        <f>RTD("tos.rtd", , "VOLUME", A299)</f>
        <v>7094196</v>
      </c>
      <c r="K299">
        <f>RTD("tos.rtd", , "OPEN", A299)</f>
        <v>78.83</v>
      </c>
      <c r="L299">
        <f>RTD("tos.rtd", , "HIGH",A299)</f>
        <v>80.09</v>
      </c>
      <c r="M299">
        <f>RTD("tos.rtd", , "LOW", A299)</f>
        <v>78.739999999999995</v>
      </c>
      <c r="N299">
        <f>RTD("tos.rtd", , "52HIGH", A299)</f>
        <v>89.72</v>
      </c>
      <c r="O299">
        <f>RTD("tos.rtd", , "52LOW", A299)</f>
        <v>69.349999999999994</v>
      </c>
      <c r="P299">
        <f>RTD("tos.rtd", , "Mark", A299)</f>
        <v>79.489999999999995</v>
      </c>
    </row>
    <row r="300" spans="1:16" x14ac:dyDescent="0.25">
      <c r="A300" t="s">
        <v>312</v>
      </c>
      <c r="B300">
        <f>RTD("tos.rtd", , "Last", A300)</f>
        <v>51.65</v>
      </c>
      <c r="C300" t="str">
        <f>RTD("tos.rtd", , "STRENGTH_METER", A300)</f>
        <v>Range Bound</v>
      </c>
      <c r="D300" t="str">
        <f>RTD("tos.rtd", , "QUOTE_TREND", A300)</f>
        <v>instrument=MET</v>
      </c>
      <c r="E300">
        <f>RTD("tos.rtd", , "NET_CHANGE", A300)</f>
        <v>0.11</v>
      </c>
      <c r="F300">
        <f>RTD("tos.rtd", , "BID", A300)</f>
        <v>51.48</v>
      </c>
      <c r="G300">
        <f>RTD("tos.rtd", , "ASK", A300)</f>
        <v>51.69</v>
      </c>
      <c r="H300">
        <f>RTD("tos.rtd", , "BID_SIZE", A300)</f>
        <v>3</v>
      </c>
      <c r="I300">
        <f>RTD("tos.rtd", , "ASK_SIZE", A300)</f>
        <v>3</v>
      </c>
      <c r="J300">
        <f>RTD("tos.rtd", , "VOLUME", A300)</f>
        <v>2656794</v>
      </c>
      <c r="K300">
        <f>RTD("tos.rtd", , "OPEN", A300)</f>
        <v>51.3</v>
      </c>
      <c r="L300">
        <f>RTD("tos.rtd", , "HIGH",A300)</f>
        <v>51.910499999999999</v>
      </c>
      <c r="M300">
        <f>RTD("tos.rtd", , "LOW", A300)</f>
        <v>51.16</v>
      </c>
      <c r="N300">
        <f>RTD("tos.rtd", , "52HIGH", A300)</f>
        <v>55.91</v>
      </c>
      <c r="O300">
        <f>RTD("tos.rtd", , "52LOW", A300)</f>
        <v>44.174469999999999</v>
      </c>
      <c r="P300">
        <f>RTD("tos.rtd", , "Mark", A300)</f>
        <v>51.65</v>
      </c>
    </row>
    <row r="301" spans="1:16" x14ac:dyDescent="0.25">
      <c r="A301" t="s">
        <v>313</v>
      </c>
      <c r="B301" t="str">
        <f>RTD("tos.rtd", , "Last", A301)</f>
        <v>N/A</v>
      </c>
      <c r="C301" t="str">
        <f>RTD("tos.rtd", , "STRENGTH_METER", A301)</f>
        <v>N/A</v>
      </c>
      <c r="D301" t="str">
        <f>RTD("tos.rtd", , "QUOTE_TREND", A301)</f>
        <v>instrument=MHP</v>
      </c>
      <c r="E301" t="str">
        <f>RTD("tos.rtd", , "NET_CHANGE", A301)</f>
        <v>N/A</v>
      </c>
      <c r="F301" t="str">
        <f>RTD("tos.rtd", , "BID", A301)</f>
        <v>N/A</v>
      </c>
      <c r="G301" t="str">
        <f>RTD("tos.rtd", , "ASK", A301)</f>
        <v>N/A</v>
      </c>
      <c r="H301">
        <f>RTD("tos.rtd", , "BID_SIZE", A301)</f>
        <v>0</v>
      </c>
      <c r="I301">
        <f>RTD("tos.rtd", , "ASK_SIZE", A301)</f>
        <v>0</v>
      </c>
      <c r="J301" t="str">
        <f>RTD("tos.rtd", , "VOLUME", A301)</f>
        <v>N/A</v>
      </c>
      <c r="K301" t="str">
        <f>RTD("tos.rtd", , "OPEN", A301)</f>
        <v>N/A</v>
      </c>
      <c r="L301" t="str">
        <f>RTD("tos.rtd", , "HIGH",A301)</f>
        <v>N/A</v>
      </c>
      <c r="M301" t="str">
        <f>RTD("tos.rtd", , "LOW", A301)</f>
        <v>N/A</v>
      </c>
      <c r="N301" t="str">
        <f>RTD("tos.rtd", , "52HIGH", A301)</f>
        <v>N/A</v>
      </c>
      <c r="O301" t="str">
        <f>RTD("tos.rtd", , "52LOW", A301)</f>
        <v>N/A</v>
      </c>
      <c r="P301" t="str">
        <f>RTD("tos.rtd", , "Mark", A301)</f>
        <v>N/A</v>
      </c>
    </row>
    <row r="302" spans="1:16" x14ac:dyDescent="0.25">
      <c r="A302" t="s">
        <v>314</v>
      </c>
      <c r="B302">
        <f>RTD("tos.rtd", , "Last", A302)</f>
        <v>0</v>
      </c>
      <c r="C302" t="str">
        <f>RTD("tos.rtd", , "STRENGTH_METER", A302)</f>
        <v>N/A</v>
      </c>
      <c r="D302" t="str">
        <f>RTD("tos.rtd", , "QUOTE_TREND", A302)</f>
        <v>instrument=MJN</v>
      </c>
      <c r="E302">
        <f>RTD("tos.rtd", , "NET_CHANGE", A302)</f>
        <v>0</v>
      </c>
      <c r="F302">
        <f>RTD("tos.rtd", , "BID", A302)</f>
        <v>60.6</v>
      </c>
      <c r="G302">
        <f>RTD("tos.rtd", , "ASK", A302)</f>
        <v>90.01</v>
      </c>
      <c r="H302">
        <f>RTD("tos.rtd", , "BID_SIZE", A302)</f>
        <v>0</v>
      </c>
      <c r="I302">
        <f>RTD("tos.rtd", , "ASK_SIZE", A302)</f>
        <v>0</v>
      </c>
      <c r="J302">
        <f>RTD("tos.rtd", , "VOLUME", A302)</f>
        <v>0</v>
      </c>
      <c r="K302">
        <f>RTD("tos.rtd", , "OPEN", A302)</f>
        <v>0</v>
      </c>
      <c r="L302">
        <f>RTD("tos.rtd", , "HIGH",A302)</f>
        <v>0</v>
      </c>
      <c r="M302">
        <f>RTD("tos.rtd", , "LOW", A302)</f>
        <v>0</v>
      </c>
      <c r="N302">
        <f>RTD("tos.rtd", , "52HIGH", A302)</f>
        <v>0</v>
      </c>
      <c r="O302">
        <f>RTD("tos.rtd", , "52LOW", A302)</f>
        <v>0</v>
      </c>
      <c r="P302">
        <f>RTD("tos.rtd", , "Mark", A302)</f>
        <v>60.6</v>
      </c>
    </row>
    <row r="303" spans="1:16" x14ac:dyDescent="0.25">
      <c r="A303" t="s">
        <v>315</v>
      </c>
      <c r="B303">
        <f>RTD("tos.rtd", , "Last", A303)</f>
        <v>99.33</v>
      </c>
      <c r="C303" t="str">
        <f>RTD("tos.rtd", , "STRENGTH_METER", A303)</f>
        <v>Range Bound</v>
      </c>
      <c r="D303" t="str">
        <f>RTD("tos.rtd", , "QUOTE_TREND", A303)</f>
        <v>instrument=MKC</v>
      </c>
      <c r="E303">
        <f>RTD("tos.rtd", , "NET_CHANGE", A303)</f>
        <v>-0.22</v>
      </c>
      <c r="F303">
        <f>RTD("tos.rtd", , "BID", A303)</f>
        <v>99.39</v>
      </c>
      <c r="G303">
        <f>RTD("tos.rtd", , "ASK", A303)</f>
        <v>105</v>
      </c>
      <c r="H303">
        <f>RTD("tos.rtd", , "BID_SIZE", A303)</f>
        <v>1</v>
      </c>
      <c r="I303">
        <f>RTD("tos.rtd", , "ASK_SIZE", A303)</f>
        <v>1</v>
      </c>
      <c r="J303">
        <f>RTD("tos.rtd", , "VOLUME", A303)</f>
        <v>2317182</v>
      </c>
      <c r="K303">
        <f>RTD("tos.rtd", , "OPEN", A303)</f>
        <v>99.06</v>
      </c>
      <c r="L303">
        <f>RTD("tos.rtd", , "HIGH",A303)</f>
        <v>100.57</v>
      </c>
      <c r="M303">
        <f>RTD("tos.rtd", , "LOW", A303)</f>
        <v>99.06</v>
      </c>
      <c r="N303">
        <f>RTD("tos.rtd", , "52HIGH", A303)</f>
        <v>106.5</v>
      </c>
      <c r="O303">
        <f>RTD("tos.rtd", , "52LOW", A303)</f>
        <v>88.64</v>
      </c>
      <c r="P303">
        <f>RTD("tos.rtd", , "Mark", A303)</f>
        <v>99.39</v>
      </c>
    </row>
    <row r="304" spans="1:16" x14ac:dyDescent="0.25">
      <c r="A304" t="s">
        <v>316</v>
      </c>
      <c r="B304">
        <f>RTD("tos.rtd", , "Last", A304)</f>
        <v>82.35</v>
      </c>
      <c r="C304" t="str">
        <f>RTD("tos.rtd", , "STRENGTH_METER", A304)</f>
        <v>Range Bound</v>
      </c>
      <c r="D304" t="str">
        <f>RTD("tos.rtd", , "QUOTE_TREND", A304)</f>
        <v>instrument=MMC</v>
      </c>
      <c r="E304">
        <f>RTD("tos.rtd", , "NET_CHANGE", A304)</f>
        <v>-0.56000000000000005</v>
      </c>
      <c r="F304">
        <f>RTD("tos.rtd", , "BID", A304)</f>
        <v>76.680000000000007</v>
      </c>
      <c r="G304">
        <f>RTD("tos.rtd", , "ASK", A304)</f>
        <v>82.36</v>
      </c>
      <c r="H304">
        <f>RTD("tos.rtd", , "BID_SIZE", A304)</f>
        <v>1</v>
      </c>
      <c r="I304">
        <f>RTD("tos.rtd", , "ASK_SIZE", A304)</f>
        <v>0</v>
      </c>
      <c r="J304">
        <f>RTD("tos.rtd", , "VOLUME", A304)</f>
        <v>1505242</v>
      </c>
      <c r="K304">
        <f>RTD("tos.rtd", , "OPEN", A304)</f>
        <v>82.63</v>
      </c>
      <c r="L304">
        <f>RTD("tos.rtd", , "HIGH",A304)</f>
        <v>83</v>
      </c>
      <c r="M304">
        <f>RTD("tos.rtd", , "LOW", A304)</f>
        <v>82.29</v>
      </c>
      <c r="N304">
        <f>RTD("tos.rtd", , "52HIGH", A304)</f>
        <v>84.9</v>
      </c>
      <c r="O304">
        <f>RTD("tos.rtd", , "52LOW", A304)</f>
        <v>66.75</v>
      </c>
      <c r="P304">
        <f>RTD("tos.rtd", , "Mark", A304)</f>
        <v>82.35</v>
      </c>
    </row>
    <row r="305" spans="1:16" x14ac:dyDescent="0.25">
      <c r="A305" t="s">
        <v>317</v>
      </c>
      <c r="B305">
        <f>RTD("tos.rtd", , "Last", A305)</f>
        <v>229.36</v>
      </c>
      <c r="C305" t="str">
        <f>RTD("tos.rtd", , "STRENGTH_METER", A305)</f>
        <v>Range Bound</v>
      </c>
      <c r="D305" t="str">
        <f>RTD("tos.rtd", , "QUOTE_TREND", A305)</f>
        <v>instrument=MMM</v>
      </c>
      <c r="E305">
        <f>RTD("tos.rtd", , "NET_CHANGE", A305)</f>
        <v>-0.06</v>
      </c>
      <c r="F305">
        <f>RTD("tos.rtd", , "BID", A305)</f>
        <v>229.15</v>
      </c>
      <c r="G305">
        <f>RTD("tos.rtd", , "ASK", A305)</f>
        <v>230.29</v>
      </c>
      <c r="H305">
        <f>RTD("tos.rtd", , "BID_SIZE", A305)</f>
        <v>5</v>
      </c>
      <c r="I305">
        <f>RTD("tos.rtd", , "ASK_SIZE", A305)</f>
        <v>1</v>
      </c>
      <c r="J305">
        <f>RTD("tos.rtd", , "VOLUME", A305)</f>
        <v>1732091</v>
      </c>
      <c r="K305">
        <f>RTD("tos.rtd", , "OPEN", A305)</f>
        <v>228.43</v>
      </c>
      <c r="L305">
        <f>RTD("tos.rtd", , "HIGH",A305)</f>
        <v>229.92</v>
      </c>
      <c r="M305">
        <f>RTD("tos.rtd", , "LOW", A305)</f>
        <v>227.74</v>
      </c>
      <c r="N305">
        <f>RTD("tos.rtd", , "52HIGH", A305)</f>
        <v>238.9</v>
      </c>
      <c r="O305">
        <f>RTD("tos.rtd", , "52LOW", A305)</f>
        <v>170.72</v>
      </c>
      <c r="P305">
        <f>RTD("tos.rtd", , "Mark", A305)</f>
        <v>229.36</v>
      </c>
    </row>
    <row r="306" spans="1:16" x14ac:dyDescent="0.25">
      <c r="A306" t="s">
        <v>318</v>
      </c>
      <c r="B306">
        <f>RTD("tos.rtd", , "Last", A306)</f>
        <v>62.17</v>
      </c>
      <c r="C306" t="str">
        <f>RTD("tos.rtd", , "STRENGTH_METER", A306)</f>
        <v>Uptrend</v>
      </c>
      <c r="D306" t="str">
        <f>RTD("tos.rtd", , "QUOTE_TREND", A306)</f>
        <v>instrument=MNST</v>
      </c>
      <c r="E306">
        <f>RTD("tos.rtd", , "NET_CHANGE", A306)</f>
        <v>0.17</v>
      </c>
      <c r="F306">
        <f>RTD("tos.rtd", , "BID", A306)</f>
        <v>61.95</v>
      </c>
      <c r="G306">
        <f>RTD("tos.rtd", , "ASK", A306)</f>
        <v>64.989999999999995</v>
      </c>
      <c r="H306">
        <f>RTD("tos.rtd", , "BID_SIZE", A306)</f>
        <v>1</v>
      </c>
      <c r="I306">
        <f>RTD("tos.rtd", , "ASK_SIZE", A306)</f>
        <v>4</v>
      </c>
      <c r="J306">
        <f>RTD("tos.rtd", , "VOLUME", A306)</f>
        <v>1793316</v>
      </c>
      <c r="K306">
        <f>RTD("tos.rtd", , "OPEN", A306)</f>
        <v>61.98</v>
      </c>
      <c r="L306">
        <f>RTD("tos.rtd", , "HIGH",A306)</f>
        <v>62.64</v>
      </c>
      <c r="M306">
        <f>RTD("tos.rtd", , "LOW", A306)</f>
        <v>61.74</v>
      </c>
      <c r="N306">
        <f>RTD("tos.rtd", , "52HIGH", A306)</f>
        <v>62.8</v>
      </c>
      <c r="O306">
        <f>RTD("tos.rtd", , "52LOW", A306)</f>
        <v>41.02</v>
      </c>
      <c r="P306">
        <f>RTD("tos.rtd", , "Mark", A306)</f>
        <v>62.17</v>
      </c>
    </row>
    <row r="307" spans="1:16" x14ac:dyDescent="0.25">
      <c r="A307" t="s">
        <v>319</v>
      </c>
      <c r="B307">
        <f>RTD("tos.rtd", , "Last", A307)</f>
        <v>66.42</v>
      </c>
      <c r="C307" t="str">
        <f>RTD("tos.rtd", , "STRENGTH_METER", A307)</f>
        <v>Range Bound</v>
      </c>
      <c r="D307" t="str">
        <f>RTD("tos.rtd", , "QUOTE_TREND", A307)</f>
        <v>instrument=MO</v>
      </c>
      <c r="E307">
        <f>RTD("tos.rtd", , "NET_CHANGE", A307)</f>
        <v>0.54</v>
      </c>
      <c r="F307">
        <f>RTD("tos.rtd", , "BID", A307)</f>
        <v>66.400000000000006</v>
      </c>
      <c r="G307">
        <f>RTD("tos.rtd", , "ASK", A307)</f>
        <v>66.45</v>
      </c>
      <c r="H307">
        <f>RTD("tos.rtd", , "BID_SIZE", A307)</f>
        <v>10</v>
      </c>
      <c r="I307">
        <f>RTD("tos.rtd", , "ASK_SIZE", A307)</f>
        <v>1</v>
      </c>
      <c r="J307">
        <f>RTD("tos.rtd", , "VOLUME", A307)</f>
        <v>6917546</v>
      </c>
      <c r="K307">
        <f>RTD("tos.rtd", , "OPEN", A307)</f>
        <v>65.53</v>
      </c>
      <c r="L307">
        <f>RTD("tos.rtd", , "HIGH",A307)</f>
        <v>66.5</v>
      </c>
      <c r="M307">
        <f>RTD("tos.rtd", , "LOW", A307)</f>
        <v>65.290000000000006</v>
      </c>
      <c r="N307">
        <f>RTD("tos.rtd", , "52HIGH", A307)</f>
        <v>77.790000000000006</v>
      </c>
      <c r="O307">
        <f>RTD("tos.rtd", , "52LOW", A307)</f>
        <v>60.01</v>
      </c>
      <c r="P307">
        <f>RTD("tos.rtd", , "Mark", A307)</f>
        <v>66.42</v>
      </c>
    </row>
    <row r="308" spans="1:16" x14ac:dyDescent="0.25">
      <c r="A308" t="s">
        <v>320</v>
      </c>
      <c r="B308" t="str">
        <f>RTD("tos.rtd", , "Last", A308)</f>
        <v>N/A</v>
      </c>
      <c r="C308" t="str">
        <f>RTD("tos.rtd", , "STRENGTH_METER", A308)</f>
        <v>N/A</v>
      </c>
      <c r="D308" t="str">
        <f>RTD("tos.rtd", , "QUOTE_TREND", A308)</f>
        <v>instrument=MOLX</v>
      </c>
      <c r="E308" t="str">
        <f>RTD("tos.rtd", , "NET_CHANGE", A308)</f>
        <v>N/A</v>
      </c>
      <c r="F308" t="str">
        <f>RTD("tos.rtd", , "BID", A308)</f>
        <v>N/A</v>
      </c>
      <c r="G308" t="str">
        <f>RTD("tos.rtd", , "ASK", A308)</f>
        <v>N/A</v>
      </c>
      <c r="H308">
        <f>RTD("tos.rtd", , "BID_SIZE", A308)</f>
        <v>0</v>
      </c>
      <c r="I308">
        <f>RTD("tos.rtd", , "ASK_SIZE", A308)</f>
        <v>0</v>
      </c>
      <c r="J308" t="str">
        <f>RTD("tos.rtd", , "VOLUME", A308)</f>
        <v>N/A</v>
      </c>
      <c r="K308" t="str">
        <f>RTD("tos.rtd", , "OPEN", A308)</f>
        <v>N/A</v>
      </c>
      <c r="L308" t="str">
        <f>RTD("tos.rtd", , "HIGH",A308)</f>
        <v>N/A</v>
      </c>
      <c r="M308" t="str">
        <f>RTD("tos.rtd", , "LOW", A308)</f>
        <v>N/A</v>
      </c>
      <c r="N308" t="str">
        <f>RTD("tos.rtd", , "52HIGH", A308)</f>
        <v>N/A</v>
      </c>
      <c r="O308" t="str">
        <f>RTD("tos.rtd", , "52LOW", A308)</f>
        <v>N/A</v>
      </c>
      <c r="P308" t="str">
        <f>RTD("tos.rtd", , "Mark", A308)</f>
        <v>N/A</v>
      </c>
    </row>
    <row r="309" spans="1:16" x14ac:dyDescent="0.25">
      <c r="A309" t="s">
        <v>321</v>
      </c>
      <c r="B309">
        <f>RTD("tos.rtd", , "Last", A309)</f>
        <v>118.33</v>
      </c>
      <c r="C309" t="str">
        <f>RTD("tos.rtd", , "STRENGTH_METER", A309)</f>
        <v>Range Bound</v>
      </c>
      <c r="D309" t="str">
        <f>RTD("tos.rtd", , "QUOTE_TREND", A309)</f>
        <v>instrument=MON</v>
      </c>
      <c r="E309">
        <f>RTD("tos.rtd", , "NET_CHANGE", A309)</f>
        <v>-0.27</v>
      </c>
      <c r="F309">
        <f>RTD("tos.rtd", , "BID", A309)</f>
        <v>117</v>
      </c>
      <c r="G309">
        <f>RTD("tos.rtd", , "ASK", A309)</f>
        <v>120.99</v>
      </c>
      <c r="H309">
        <f>RTD("tos.rtd", , "BID_SIZE", A309)</f>
        <v>1</v>
      </c>
      <c r="I309">
        <f>RTD("tos.rtd", , "ASK_SIZE", A309)</f>
        <v>5</v>
      </c>
      <c r="J309">
        <f>RTD("tos.rtd", , "VOLUME", A309)</f>
        <v>936518</v>
      </c>
      <c r="K309">
        <f>RTD("tos.rtd", , "OPEN", A309)</f>
        <v>118.33</v>
      </c>
      <c r="L309">
        <f>RTD("tos.rtd", , "HIGH",A309)</f>
        <v>118.59</v>
      </c>
      <c r="M309">
        <f>RTD("tos.rtd", , "LOW", A309)</f>
        <v>118.15</v>
      </c>
      <c r="N309">
        <f>RTD("tos.rtd", , "52HIGH", A309)</f>
        <v>122.795</v>
      </c>
      <c r="O309">
        <f>RTD("tos.rtd", , "52LOW", A309)</f>
        <v>99.38</v>
      </c>
      <c r="P309">
        <f>RTD("tos.rtd", , "Mark", A309)</f>
        <v>118.33</v>
      </c>
    </row>
    <row r="310" spans="1:16" x14ac:dyDescent="0.25">
      <c r="A310" t="s">
        <v>322</v>
      </c>
      <c r="B310">
        <f>RTD("tos.rtd", , "Last", A310)</f>
        <v>22.94</v>
      </c>
      <c r="C310" t="str">
        <f>RTD("tos.rtd", , "STRENGTH_METER", A310)</f>
        <v>Range Bound</v>
      </c>
      <c r="D310" t="str">
        <f>RTD("tos.rtd", , "QUOTE_TREND", A310)</f>
        <v>instrument=MOS</v>
      </c>
      <c r="E310">
        <f>RTD("tos.rtd", , "NET_CHANGE", A310)</f>
        <v>0.46</v>
      </c>
      <c r="F310">
        <f>RTD("tos.rtd", , "BID", A310)</f>
        <v>22.89</v>
      </c>
      <c r="G310">
        <f>RTD("tos.rtd", , "ASK", A310)</f>
        <v>22.97</v>
      </c>
      <c r="H310">
        <f>RTD("tos.rtd", , "BID_SIZE", A310)</f>
        <v>4</v>
      </c>
      <c r="I310">
        <f>RTD("tos.rtd", , "ASK_SIZE", A310)</f>
        <v>4</v>
      </c>
      <c r="J310">
        <f>RTD("tos.rtd", , "VOLUME", A310)</f>
        <v>3774912</v>
      </c>
      <c r="K310">
        <f>RTD("tos.rtd", , "OPEN", A310)</f>
        <v>22.44</v>
      </c>
      <c r="L310">
        <f>RTD("tos.rtd", , "HIGH",A310)</f>
        <v>23.16</v>
      </c>
      <c r="M310">
        <f>RTD("tos.rtd", , "LOW", A310)</f>
        <v>22.43</v>
      </c>
      <c r="N310">
        <f>RTD("tos.rtd", , "52HIGH", A310)</f>
        <v>34.36</v>
      </c>
      <c r="O310">
        <f>RTD("tos.rtd", , "52LOW", A310)</f>
        <v>19.23</v>
      </c>
      <c r="P310">
        <f>RTD("tos.rtd", , "Mark", A310)</f>
        <v>22.94</v>
      </c>
    </row>
    <row r="311" spans="1:16" x14ac:dyDescent="0.25">
      <c r="A311" t="s">
        <v>323</v>
      </c>
      <c r="B311">
        <f>RTD("tos.rtd", , "Last", A311)</f>
        <v>62.27</v>
      </c>
      <c r="C311" t="str">
        <f>RTD("tos.rtd", , "STRENGTH_METER", A311)</f>
        <v>Uptrend</v>
      </c>
      <c r="D311" t="str">
        <f>RTD("tos.rtd", , "QUOTE_TREND", A311)</f>
        <v>instrument=MPC</v>
      </c>
      <c r="E311">
        <f>RTD("tos.rtd", , "NET_CHANGE", A311)</f>
        <v>0.26</v>
      </c>
      <c r="F311">
        <f>RTD("tos.rtd", , "BID", A311)</f>
        <v>61.19</v>
      </c>
      <c r="G311">
        <f>RTD("tos.rtd", , "ASK", A311)</f>
        <v>63.05</v>
      </c>
      <c r="H311">
        <f>RTD("tos.rtd", , "BID_SIZE", A311)</f>
        <v>3</v>
      </c>
      <c r="I311">
        <f>RTD("tos.rtd", , "ASK_SIZE", A311)</f>
        <v>2</v>
      </c>
      <c r="J311">
        <f>RTD("tos.rtd", , "VOLUME", A311)</f>
        <v>2980762</v>
      </c>
      <c r="K311">
        <f>RTD("tos.rtd", , "OPEN", A311)</f>
        <v>61.85</v>
      </c>
      <c r="L311">
        <f>RTD("tos.rtd", , "HIGH",A311)</f>
        <v>62.45</v>
      </c>
      <c r="M311">
        <f>RTD("tos.rtd", , "LOW", A311)</f>
        <v>61.640099999999997</v>
      </c>
      <c r="N311">
        <f>RTD("tos.rtd", , "52HIGH", A311)</f>
        <v>63.41</v>
      </c>
      <c r="O311">
        <f>RTD("tos.rtd", , "52LOW", A311)</f>
        <v>42.57</v>
      </c>
      <c r="P311">
        <f>RTD("tos.rtd", , "Mark", A311)</f>
        <v>62.27</v>
      </c>
    </row>
    <row r="312" spans="1:16" x14ac:dyDescent="0.25">
      <c r="A312" t="s">
        <v>324</v>
      </c>
      <c r="B312">
        <f>RTD("tos.rtd", , "Last", A312)</f>
        <v>55.2</v>
      </c>
      <c r="C312" t="str">
        <f>RTD("tos.rtd", , "STRENGTH_METER", A312)</f>
        <v>Downtrend</v>
      </c>
      <c r="D312" t="str">
        <f>RTD("tos.rtd", , "QUOTE_TREND", A312)</f>
        <v>instrument=MRK</v>
      </c>
      <c r="E312">
        <f>RTD("tos.rtd", , "NET_CHANGE", A312)</f>
        <v>0.03</v>
      </c>
      <c r="F312">
        <f>RTD("tos.rtd", , "BID", A312)</f>
        <v>55.09</v>
      </c>
      <c r="G312">
        <f>RTD("tos.rtd", , "ASK", A312)</f>
        <v>55.26</v>
      </c>
      <c r="H312">
        <f>RTD("tos.rtd", , "BID_SIZE", A312)</f>
        <v>1</v>
      </c>
      <c r="I312">
        <f>RTD("tos.rtd", , "ASK_SIZE", A312)</f>
        <v>1</v>
      </c>
      <c r="J312">
        <f>RTD("tos.rtd", , "VOLUME", A312)</f>
        <v>9869660</v>
      </c>
      <c r="K312">
        <f>RTD("tos.rtd", , "OPEN", A312)</f>
        <v>55</v>
      </c>
      <c r="L312">
        <f>RTD("tos.rtd", , "HIGH",A312)</f>
        <v>55.43</v>
      </c>
      <c r="M312">
        <f>RTD("tos.rtd", , "LOW", A312)</f>
        <v>54.75</v>
      </c>
      <c r="N312">
        <f>RTD("tos.rtd", , "52HIGH", A312)</f>
        <v>66.8</v>
      </c>
      <c r="O312">
        <f>RTD("tos.rtd", , "52LOW", A312)</f>
        <v>54.4</v>
      </c>
      <c r="P312">
        <f>RTD("tos.rtd", , "Mark", A312)</f>
        <v>55.2</v>
      </c>
    </row>
    <row r="313" spans="1:16" x14ac:dyDescent="0.25">
      <c r="A313" t="s">
        <v>325</v>
      </c>
      <c r="B313">
        <f>RTD("tos.rtd", , "Last", A313)</f>
        <v>15.05</v>
      </c>
      <c r="C313" t="str">
        <f>RTD("tos.rtd", , "STRENGTH_METER", A313)</f>
        <v>Uptrend</v>
      </c>
      <c r="D313" t="str">
        <f>RTD("tos.rtd", , "QUOTE_TREND", A313)</f>
        <v>instrument=MRO</v>
      </c>
      <c r="E313">
        <f>RTD("tos.rtd", , "NET_CHANGE", A313)</f>
        <v>0.53</v>
      </c>
      <c r="F313">
        <f>RTD("tos.rtd", , "BID", A313)</f>
        <v>15</v>
      </c>
      <c r="G313">
        <f>RTD("tos.rtd", , "ASK", A313)</f>
        <v>15.08</v>
      </c>
      <c r="H313">
        <f>RTD("tos.rtd", , "BID_SIZE", A313)</f>
        <v>8</v>
      </c>
      <c r="I313">
        <f>RTD("tos.rtd", , "ASK_SIZE", A313)</f>
        <v>8</v>
      </c>
      <c r="J313">
        <f>RTD("tos.rtd", , "VOLUME", A313)</f>
        <v>10468747</v>
      </c>
      <c r="K313">
        <f>RTD("tos.rtd", , "OPEN", A313)</f>
        <v>14.71</v>
      </c>
      <c r="L313">
        <f>RTD("tos.rtd", , "HIGH",A313)</f>
        <v>15.19</v>
      </c>
      <c r="M313">
        <f>RTD("tos.rtd", , "LOW", A313)</f>
        <v>14.7</v>
      </c>
      <c r="N313">
        <f>RTD("tos.rtd", , "52HIGH", A313)</f>
        <v>19.28</v>
      </c>
      <c r="O313">
        <f>RTD("tos.rtd", , "52LOW", A313)</f>
        <v>10.55</v>
      </c>
      <c r="P313">
        <f>RTD("tos.rtd", , "Mark", A313)</f>
        <v>15.05</v>
      </c>
    </row>
    <row r="314" spans="1:16" x14ac:dyDescent="0.25">
      <c r="A314" t="s">
        <v>326</v>
      </c>
      <c r="B314">
        <f>RTD("tos.rtd", , "Last", A314)</f>
        <v>48.7</v>
      </c>
      <c r="C314" t="str">
        <f>RTD("tos.rtd", , "STRENGTH_METER", A314)</f>
        <v>Range Bound</v>
      </c>
      <c r="D314" t="str">
        <f>RTD("tos.rtd", , "QUOTE_TREND", A314)</f>
        <v>instrument=MS</v>
      </c>
      <c r="E314">
        <f>RTD("tos.rtd", , "NET_CHANGE", A314)</f>
        <v>0.1</v>
      </c>
      <c r="F314">
        <f>RTD("tos.rtd", , "BID", A314)</f>
        <v>48.55</v>
      </c>
      <c r="G314">
        <f>RTD("tos.rtd", , "ASK", A314)</f>
        <v>48.76</v>
      </c>
      <c r="H314">
        <f>RTD("tos.rtd", , "BID_SIZE", A314)</f>
        <v>1</v>
      </c>
      <c r="I314">
        <f>RTD("tos.rtd", , "ASK_SIZE", A314)</f>
        <v>1</v>
      </c>
      <c r="J314">
        <f>RTD("tos.rtd", , "VOLUME", A314)</f>
        <v>4983427</v>
      </c>
      <c r="K314">
        <f>RTD("tos.rtd", , "OPEN", A314)</f>
        <v>48.29</v>
      </c>
      <c r="L314">
        <f>RTD("tos.rtd", , "HIGH",A314)</f>
        <v>48.895000000000003</v>
      </c>
      <c r="M314">
        <f>RTD("tos.rtd", , "LOW", A314)</f>
        <v>48.16</v>
      </c>
      <c r="N314">
        <f>RTD("tos.rtd", , "52HIGH", A314)</f>
        <v>51.52</v>
      </c>
      <c r="O314">
        <f>RTD("tos.rtd", , "52LOW", A314)</f>
        <v>38.72</v>
      </c>
      <c r="P314">
        <f>RTD("tos.rtd", , "Mark", A314)</f>
        <v>48.7</v>
      </c>
    </row>
    <row r="315" spans="1:16" x14ac:dyDescent="0.25">
      <c r="A315" t="s">
        <v>327</v>
      </c>
      <c r="B315">
        <f>RTD("tos.rtd", , "Last", A315)</f>
        <v>82.4</v>
      </c>
      <c r="C315" t="str">
        <f>RTD("tos.rtd", , "STRENGTH_METER", A315)</f>
        <v>Range Bound</v>
      </c>
      <c r="D315" t="str">
        <f>RTD("tos.rtd", , "QUOTE_TREND", A315)</f>
        <v>instrument=MSFT</v>
      </c>
      <c r="E315">
        <f>RTD("tos.rtd", , "NET_CHANGE", A315)</f>
        <v>-0.8</v>
      </c>
      <c r="F315">
        <f>RTD("tos.rtd", , "BID", A315)</f>
        <v>82.36</v>
      </c>
      <c r="G315">
        <f>RTD("tos.rtd", , "ASK", A315)</f>
        <v>82.4</v>
      </c>
      <c r="H315">
        <f>RTD("tos.rtd", , "BID_SIZE", A315)</f>
        <v>4</v>
      </c>
      <c r="I315">
        <f>RTD("tos.rtd", , "ASK_SIZE", A315)</f>
        <v>1</v>
      </c>
      <c r="J315">
        <f>RTD("tos.rtd", , "VOLUME", A315)</f>
        <v>21870500</v>
      </c>
      <c r="K315">
        <f>RTD("tos.rtd", , "OPEN", A315)</f>
        <v>83.12</v>
      </c>
      <c r="L315">
        <f>RTD("tos.rtd", , "HIGH",A315)</f>
        <v>83.12</v>
      </c>
      <c r="M315">
        <f>RTD("tos.rtd", , "LOW", A315)</f>
        <v>82.24</v>
      </c>
      <c r="N315">
        <f>RTD("tos.rtd", , "52HIGH", A315)</f>
        <v>86.2</v>
      </c>
      <c r="O315">
        <f>RTD("tos.rtd", , "52LOW", A315)</f>
        <v>58.8</v>
      </c>
      <c r="P315">
        <f>RTD("tos.rtd", , "Mark", A315)</f>
        <v>82.4</v>
      </c>
    </row>
    <row r="316" spans="1:16" x14ac:dyDescent="0.25">
      <c r="A316" t="s">
        <v>328</v>
      </c>
      <c r="B316">
        <f>RTD("tos.rtd", , "Last", A316)</f>
        <v>90.95</v>
      </c>
      <c r="C316" t="str">
        <f>RTD("tos.rtd", , "STRENGTH_METER", A316)</f>
        <v>Range Bound</v>
      </c>
      <c r="D316" t="str">
        <f>RTD("tos.rtd", , "QUOTE_TREND", A316)</f>
        <v>instrument=MSI</v>
      </c>
      <c r="E316">
        <f>RTD("tos.rtd", , "NET_CHANGE", A316)</f>
        <v>-0.02</v>
      </c>
      <c r="F316">
        <f>RTD("tos.rtd", , "BID", A316)</f>
        <v>23.12</v>
      </c>
      <c r="G316">
        <f>RTD("tos.rtd", , "ASK", A316)</f>
        <v>94.86</v>
      </c>
      <c r="H316">
        <f>RTD("tos.rtd", , "BID_SIZE", A316)</f>
        <v>2</v>
      </c>
      <c r="I316">
        <f>RTD("tos.rtd", , "ASK_SIZE", A316)</f>
        <v>1</v>
      </c>
      <c r="J316">
        <f>RTD("tos.rtd", , "VOLUME", A316)</f>
        <v>1161944</v>
      </c>
      <c r="K316">
        <f>RTD("tos.rtd", , "OPEN", A316)</f>
        <v>90.6</v>
      </c>
      <c r="L316">
        <f>RTD("tos.rtd", , "HIGH",A316)</f>
        <v>91.444999999999993</v>
      </c>
      <c r="M316">
        <f>RTD("tos.rtd", , "LOW", A316)</f>
        <v>90.42</v>
      </c>
      <c r="N316">
        <f>RTD("tos.rtd", , "52HIGH", A316)</f>
        <v>94.94</v>
      </c>
      <c r="O316">
        <f>RTD("tos.rtd", , "52LOW", A316)</f>
        <v>76.92</v>
      </c>
      <c r="P316">
        <f>RTD("tos.rtd", , "Mark", A316)</f>
        <v>90.95</v>
      </c>
    </row>
    <row r="317" spans="1:16" x14ac:dyDescent="0.25">
      <c r="A317" t="s">
        <v>329</v>
      </c>
      <c r="B317">
        <f>RTD("tos.rtd", , "Last", A317)</f>
        <v>160.57</v>
      </c>
      <c r="C317" t="str">
        <f>RTD("tos.rtd", , "STRENGTH_METER", A317)</f>
        <v>Range Bound</v>
      </c>
      <c r="D317" t="str">
        <f>RTD("tos.rtd", , "QUOTE_TREND", A317)</f>
        <v>instrument=MTB</v>
      </c>
      <c r="E317">
        <f>RTD("tos.rtd", , "NET_CHANGE", A317)</f>
        <v>0.7</v>
      </c>
      <c r="F317">
        <f>RTD("tos.rtd", , "BID", A317)</f>
        <v>1.01</v>
      </c>
      <c r="G317">
        <f>RTD("tos.rtd", , "ASK", A317)</f>
        <v>163.63999999999999</v>
      </c>
      <c r="H317">
        <f>RTD("tos.rtd", , "BID_SIZE", A317)</f>
        <v>1</v>
      </c>
      <c r="I317">
        <f>RTD("tos.rtd", , "ASK_SIZE", A317)</f>
        <v>7</v>
      </c>
      <c r="J317">
        <f>RTD("tos.rtd", , "VOLUME", A317)</f>
        <v>371381</v>
      </c>
      <c r="K317">
        <f>RTD("tos.rtd", , "OPEN", A317)</f>
        <v>158.94</v>
      </c>
      <c r="L317">
        <f>RTD("tos.rtd", , "HIGH",A317)</f>
        <v>161.32</v>
      </c>
      <c r="M317">
        <f>RTD("tos.rtd", , "LOW", A317)</f>
        <v>158.29</v>
      </c>
      <c r="N317">
        <f>RTD("tos.rtd", , "52HIGH", A317)</f>
        <v>173.72</v>
      </c>
      <c r="O317">
        <f>RTD("tos.rtd", , "52LOW", A317)</f>
        <v>136.11000000000001</v>
      </c>
      <c r="P317">
        <f>RTD("tos.rtd", , "Mark", A317)</f>
        <v>160.57</v>
      </c>
    </row>
    <row r="318" spans="1:16" x14ac:dyDescent="0.25">
      <c r="A318" t="s">
        <v>330</v>
      </c>
      <c r="B318">
        <f>RTD("tos.rtd", , "Last", A318)</f>
        <v>46.16</v>
      </c>
      <c r="C318" t="str">
        <f>RTD("tos.rtd", , "STRENGTH_METER", A318)</f>
        <v>Uptrend</v>
      </c>
      <c r="D318" t="str">
        <f>RTD("tos.rtd", , "QUOTE_TREND", A318)</f>
        <v>instrument=MU</v>
      </c>
      <c r="E318">
        <f>RTD("tos.rtd", , "NET_CHANGE", A318)</f>
        <v>-0.02</v>
      </c>
      <c r="F318">
        <f>RTD("tos.rtd", , "BID", A318)</f>
        <v>46.1</v>
      </c>
      <c r="G318">
        <f>RTD("tos.rtd", , "ASK", A318)</f>
        <v>46.12</v>
      </c>
      <c r="H318">
        <f>RTD("tos.rtd", , "BID_SIZE", A318)</f>
        <v>2</v>
      </c>
      <c r="I318">
        <f>RTD("tos.rtd", , "ASK_SIZE", A318)</f>
        <v>34</v>
      </c>
      <c r="J318">
        <f>RTD("tos.rtd", , "VOLUME", A318)</f>
        <v>22547637</v>
      </c>
      <c r="K318">
        <f>RTD("tos.rtd", , "OPEN", A318)</f>
        <v>46.54</v>
      </c>
      <c r="L318">
        <f>RTD("tos.rtd", , "HIGH",A318)</f>
        <v>46.55</v>
      </c>
      <c r="M318">
        <f>RTD("tos.rtd", , "LOW", A318)</f>
        <v>45.73</v>
      </c>
      <c r="N318">
        <f>RTD("tos.rtd", , "52HIGH", A318)</f>
        <v>46.29</v>
      </c>
      <c r="O318">
        <f>RTD("tos.rtd", , "52LOW", A318)</f>
        <v>17.93</v>
      </c>
      <c r="P318">
        <f>RTD("tos.rtd", , "Mark", A318)</f>
        <v>46.12</v>
      </c>
    </row>
    <row r="319" spans="1:16" x14ac:dyDescent="0.25">
      <c r="A319" t="s">
        <v>331</v>
      </c>
      <c r="B319">
        <f>RTD("tos.rtd", , "Last", A319)</f>
        <v>27.99</v>
      </c>
      <c r="C319" t="str">
        <f>RTD("tos.rtd", , "STRENGTH_METER", A319)</f>
        <v>Uptrend</v>
      </c>
      <c r="D319" t="str">
        <f>RTD("tos.rtd", , "QUOTE_TREND", A319)</f>
        <v>instrument=MUR</v>
      </c>
      <c r="E319">
        <f>RTD("tos.rtd", , "NET_CHANGE", A319)</f>
        <v>0.24</v>
      </c>
      <c r="F319">
        <f>RTD("tos.rtd", , "BID", A319)</f>
        <v>27.65</v>
      </c>
      <c r="G319">
        <f>RTD("tos.rtd", , "ASK", A319)</f>
        <v>29.8</v>
      </c>
      <c r="H319">
        <f>RTD("tos.rtd", , "BID_SIZE", A319)</f>
        <v>3</v>
      </c>
      <c r="I319">
        <f>RTD("tos.rtd", , "ASK_SIZE", A319)</f>
        <v>14</v>
      </c>
      <c r="J319">
        <f>RTD("tos.rtd", , "VOLUME", A319)</f>
        <v>1911414</v>
      </c>
      <c r="K319">
        <f>RTD("tos.rtd", , "OPEN", A319)</f>
        <v>27.89</v>
      </c>
      <c r="L319">
        <f>RTD("tos.rtd", , "HIGH",A319)</f>
        <v>28.07</v>
      </c>
      <c r="M319">
        <f>RTD("tos.rtd", , "LOW", A319)</f>
        <v>27.72</v>
      </c>
      <c r="N319">
        <f>RTD("tos.rtd", , "52HIGH", A319)</f>
        <v>35.19</v>
      </c>
      <c r="O319">
        <f>RTD("tos.rtd", , "52LOW", A319)</f>
        <v>22.21</v>
      </c>
      <c r="P319">
        <f>RTD("tos.rtd", , "Mark", A319)</f>
        <v>27.99</v>
      </c>
    </row>
    <row r="320" spans="1:16" x14ac:dyDescent="0.25">
      <c r="A320" t="s">
        <v>332</v>
      </c>
      <c r="B320">
        <f>RTD("tos.rtd", , "Last", A320)</f>
        <v>0</v>
      </c>
      <c r="C320" t="str">
        <f>RTD("tos.rtd", , "STRENGTH_METER", A320)</f>
        <v>N/A</v>
      </c>
      <c r="D320" t="str">
        <f>RTD("tos.rtd", , "QUOTE_TREND", A320)</f>
        <v>instrument=MWV</v>
      </c>
      <c r="E320">
        <f>RTD("tos.rtd", , "NET_CHANGE", A320)</f>
        <v>0</v>
      </c>
      <c r="F320">
        <f>RTD("tos.rtd", , "BID", A320)</f>
        <v>125.78</v>
      </c>
      <c r="G320">
        <f>RTD("tos.rtd", , "ASK", A320)</f>
        <v>113.42</v>
      </c>
      <c r="H320">
        <f>RTD("tos.rtd", , "BID_SIZE", A320)</f>
        <v>0</v>
      </c>
      <c r="I320">
        <f>RTD("tos.rtd", , "ASK_SIZE", A320)</f>
        <v>0</v>
      </c>
      <c r="J320">
        <f>RTD("tos.rtd", , "VOLUME", A320)</f>
        <v>0</v>
      </c>
      <c r="K320">
        <f>RTD("tos.rtd", , "OPEN", A320)</f>
        <v>0</v>
      </c>
      <c r="L320">
        <f>RTD("tos.rtd", , "HIGH",A320)</f>
        <v>0</v>
      </c>
      <c r="M320">
        <f>RTD("tos.rtd", , "LOW", A320)</f>
        <v>0</v>
      </c>
      <c r="N320">
        <f>RTD("tos.rtd", , "52HIGH", A320)</f>
        <v>0</v>
      </c>
      <c r="O320">
        <f>RTD("tos.rtd", , "52LOW", A320)</f>
        <v>0</v>
      </c>
      <c r="P320">
        <f>RTD("tos.rtd", , "Mark", A320)</f>
        <v>0</v>
      </c>
    </row>
    <row r="321" spans="1:16" x14ac:dyDescent="0.25">
      <c r="A321" t="s">
        <v>333</v>
      </c>
      <c r="B321">
        <f>RTD("tos.rtd", , "Last", A321)</f>
        <v>37.590000000000003</v>
      </c>
      <c r="C321" t="str">
        <f>RTD("tos.rtd", , "STRENGTH_METER", A321)</f>
        <v>Range Bound</v>
      </c>
      <c r="D321" t="str">
        <f>RTD("tos.rtd", , "QUOTE_TREND", A321)</f>
        <v>instrument=MYL</v>
      </c>
      <c r="E321">
        <f>RTD("tos.rtd", , "NET_CHANGE", A321)</f>
        <v>0.09</v>
      </c>
      <c r="F321">
        <f>RTD("tos.rtd", , "BID", A321)</f>
        <v>37.5</v>
      </c>
      <c r="G321">
        <f>RTD("tos.rtd", , "ASK", A321)</f>
        <v>37.6</v>
      </c>
      <c r="H321">
        <f>RTD("tos.rtd", , "BID_SIZE", A321)</f>
        <v>1</v>
      </c>
      <c r="I321">
        <f>RTD("tos.rtd", , "ASK_SIZE", A321)</f>
        <v>4</v>
      </c>
      <c r="J321">
        <f>RTD("tos.rtd", , "VOLUME", A321)</f>
        <v>3219407</v>
      </c>
      <c r="K321">
        <f>RTD("tos.rtd", , "OPEN", A321)</f>
        <v>37.43</v>
      </c>
      <c r="L321">
        <f>RTD("tos.rtd", , "HIGH",A321)</f>
        <v>37.76</v>
      </c>
      <c r="M321">
        <f>RTD("tos.rtd", , "LOW", A321)</f>
        <v>36.65</v>
      </c>
      <c r="N321">
        <f>RTD("tos.rtd", , "52HIGH", A321)</f>
        <v>45.87</v>
      </c>
      <c r="O321">
        <f>RTD("tos.rtd", , "52LOW", A321)</f>
        <v>29.39</v>
      </c>
      <c r="P321">
        <f>RTD("tos.rtd", , "Mark", A321)</f>
        <v>37.590000000000003</v>
      </c>
    </row>
    <row r="322" spans="1:16" x14ac:dyDescent="0.25">
      <c r="A322" t="s">
        <v>334</v>
      </c>
      <c r="B322">
        <f>RTD("tos.rtd", , "Last", A322)</f>
        <v>25.96</v>
      </c>
      <c r="C322" t="str">
        <f>RTD("tos.rtd", , "STRENGTH_METER", A322)</f>
        <v>Range Bound</v>
      </c>
      <c r="D322" t="str">
        <f>RTD("tos.rtd", , "QUOTE_TREND", A322)</f>
        <v>instrument=NBL</v>
      </c>
      <c r="E322">
        <f>RTD("tos.rtd", , "NET_CHANGE", A322)</f>
        <v>0.16</v>
      </c>
      <c r="F322">
        <f>RTD("tos.rtd", , "BID", A322)</f>
        <v>25.86</v>
      </c>
      <c r="G322">
        <f>RTD("tos.rtd", , "ASK", A322)</f>
        <v>25.97</v>
      </c>
      <c r="H322">
        <f>RTD("tos.rtd", , "BID_SIZE", A322)</f>
        <v>1</v>
      </c>
      <c r="I322">
        <f>RTD("tos.rtd", , "ASK_SIZE", A322)</f>
        <v>1</v>
      </c>
      <c r="J322">
        <f>RTD("tos.rtd", , "VOLUME", A322)</f>
        <v>4015860</v>
      </c>
      <c r="K322">
        <f>RTD("tos.rtd", , "OPEN", A322)</f>
        <v>25.92</v>
      </c>
      <c r="L322">
        <f>RTD("tos.rtd", , "HIGH",A322)</f>
        <v>26.11</v>
      </c>
      <c r="M322">
        <f>RTD("tos.rtd", , "LOW", A322)</f>
        <v>25.74</v>
      </c>
      <c r="N322">
        <f>RTD("tos.rtd", , "52HIGH", A322)</f>
        <v>42.03</v>
      </c>
      <c r="O322">
        <f>RTD("tos.rtd", , "52LOW", A322)</f>
        <v>22.984999999999999</v>
      </c>
      <c r="P322">
        <f>RTD("tos.rtd", , "Mark", A322)</f>
        <v>25.96</v>
      </c>
    </row>
    <row r="323" spans="1:16" x14ac:dyDescent="0.25">
      <c r="A323" t="s">
        <v>335</v>
      </c>
      <c r="B323">
        <f>RTD("tos.rtd", , "Last", A323)</f>
        <v>5.79</v>
      </c>
      <c r="C323" t="str">
        <f>RTD("tos.rtd", , "STRENGTH_METER", A323)</f>
        <v>Range Bound</v>
      </c>
      <c r="D323" t="str">
        <f>RTD("tos.rtd", , "QUOTE_TREND", A323)</f>
        <v>instrument=NBR</v>
      </c>
      <c r="E323">
        <f>RTD("tos.rtd", , "NET_CHANGE", A323)</f>
        <v>0.11</v>
      </c>
      <c r="F323">
        <f>RTD("tos.rtd", , "BID", A323)</f>
        <v>5.5</v>
      </c>
      <c r="G323">
        <f>RTD("tos.rtd", , "ASK", A323)</f>
        <v>5.82</v>
      </c>
      <c r="H323">
        <f>RTD("tos.rtd", , "BID_SIZE", A323)</f>
        <v>62</v>
      </c>
      <c r="I323">
        <f>RTD("tos.rtd", , "ASK_SIZE", A323)</f>
        <v>35</v>
      </c>
      <c r="J323">
        <f>RTD("tos.rtd", , "VOLUME", A323)</f>
        <v>6200806</v>
      </c>
      <c r="K323">
        <f>RTD("tos.rtd", , "OPEN", A323)</f>
        <v>5.78</v>
      </c>
      <c r="L323">
        <f>RTD("tos.rtd", , "HIGH",A323)</f>
        <v>5.9</v>
      </c>
      <c r="M323">
        <f>RTD("tos.rtd", , "LOW", A323)</f>
        <v>5.68</v>
      </c>
      <c r="N323">
        <f>RTD("tos.rtd", , "52HIGH", A323)</f>
        <v>18.399999999999999</v>
      </c>
      <c r="O323">
        <f>RTD("tos.rtd", , "52LOW", A323)</f>
        <v>5.32</v>
      </c>
      <c r="P323">
        <f>RTD("tos.rtd", , "Mark", A323)</f>
        <v>5.79</v>
      </c>
    </row>
    <row r="324" spans="1:16" x14ac:dyDescent="0.25">
      <c r="A324" t="s">
        <v>336</v>
      </c>
      <c r="B324">
        <f>RTD("tos.rtd", , "Last", A324)</f>
        <v>75.95</v>
      </c>
      <c r="C324" t="str">
        <f>RTD("tos.rtd", , "STRENGTH_METER", A324)</f>
        <v>Range Bound</v>
      </c>
      <c r="D324" t="str">
        <f>RTD("tos.rtd", , "QUOTE_TREND", A324)</f>
        <v>instrument=NDAQ</v>
      </c>
      <c r="E324">
        <f>RTD("tos.rtd", , "NET_CHANGE", A324)</f>
        <v>-0.02</v>
      </c>
      <c r="F324">
        <f>RTD("tos.rtd", , "BID", A324)</f>
        <v>73.06</v>
      </c>
      <c r="G324">
        <f>RTD("tos.rtd", , "ASK", A324)</f>
        <v>76.37</v>
      </c>
      <c r="H324">
        <f>RTD("tos.rtd", , "BID_SIZE", A324)</f>
        <v>3</v>
      </c>
      <c r="I324">
        <f>RTD("tos.rtd", , "ASK_SIZE", A324)</f>
        <v>1</v>
      </c>
      <c r="J324">
        <f>RTD("tos.rtd", , "VOLUME", A324)</f>
        <v>1043513</v>
      </c>
      <c r="K324">
        <f>RTD("tos.rtd", , "OPEN", A324)</f>
        <v>76</v>
      </c>
      <c r="L324">
        <f>RTD("tos.rtd", , "HIGH",A324)</f>
        <v>76.180000000000007</v>
      </c>
      <c r="M324">
        <f>RTD("tos.rtd", , "LOW", A324)</f>
        <v>75.757499999999993</v>
      </c>
      <c r="N324">
        <f>RTD("tos.rtd", , "52HIGH", A324)</f>
        <v>78.31</v>
      </c>
      <c r="O324">
        <f>RTD("tos.rtd", , "52LOW", A324)</f>
        <v>63.36</v>
      </c>
      <c r="P324">
        <f>RTD("tos.rtd", , "Mark", A324)</f>
        <v>75.95</v>
      </c>
    </row>
    <row r="325" spans="1:16" x14ac:dyDescent="0.25">
      <c r="A325" t="s">
        <v>337</v>
      </c>
      <c r="B325">
        <f>RTD("tos.rtd", , "Last", A325)</f>
        <v>4.16</v>
      </c>
      <c r="C325" t="str">
        <f>RTD("tos.rtd", , "STRENGTH_METER", A325)</f>
        <v>Range Bound</v>
      </c>
      <c r="D325" t="str">
        <f>RTD("tos.rtd", , "QUOTE_TREND", A325)</f>
        <v>instrument=NE</v>
      </c>
      <c r="E325">
        <f>RTD("tos.rtd", , "NET_CHANGE", A325)</f>
        <v>0.06</v>
      </c>
      <c r="F325">
        <f>RTD("tos.rtd", , "BID", A325)</f>
        <v>4.1500000000000004</v>
      </c>
      <c r="G325">
        <f>RTD("tos.rtd", , "ASK", A325)</f>
        <v>4.1900000000000004</v>
      </c>
      <c r="H325">
        <f>RTD("tos.rtd", , "BID_SIZE", A325)</f>
        <v>20</v>
      </c>
      <c r="I325">
        <f>RTD("tos.rtd", , "ASK_SIZE", A325)</f>
        <v>25</v>
      </c>
      <c r="J325">
        <f>RTD("tos.rtd", , "VOLUME", A325)</f>
        <v>8259760</v>
      </c>
      <c r="K325">
        <f>RTD("tos.rtd", , "OPEN", A325)</f>
        <v>4.13</v>
      </c>
      <c r="L325">
        <f>RTD("tos.rtd", , "HIGH",A325)</f>
        <v>4.24</v>
      </c>
      <c r="M325">
        <f>RTD("tos.rtd", , "LOW", A325)</f>
        <v>4.1100000000000003</v>
      </c>
      <c r="N325">
        <f>RTD("tos.rtd", , "52HIGH", A325)</f>
        <v>8.3699999999999992</v>
      </c>
      <c r="O325">
        <f>RTD("tos.rtd", , "52LOW", A325)</f>
        <v>3.14</v>
      </c>
      <c r="P325">
        <f>RTD("tos.rtd", , "Mark", A325)</f>
        <v>4.16</v>
      </c>
    </row>
    <row r="326" spans="1:16" x14ac:dyDescent="0.25">
      <c r="A326" t="s">
        <v>338</v>
      </c>
      <c r="B326">
        <f>RTD("tos.rtd", , "Last", A326)</f>
        <v>156.04</v>
      </c>
      <c r="C326" t="str">
        <f>RTD("tos.rtd", , "STRENGTH_METER", A326)</f>
        <v>Range Bound</v>
      </c>
      <c r="D326" t="str">
        <f>RTD("tos.rtd", , "QUOTE_TREND", A326)</f>
        <v>instrument=NEE</v>
      </c>
      <c r="E326">
        <f>RTD("tos.rtd", , "NET_CHANGE", A326)</f>
        <v>-1.25</v>
      </c>
      <c r="F326">
        <f>RTD("tos.rtd", , "BID", A326)</f>
        <v>150</v>
      </c>
      <c r="G326">
        <f>RTD("tos.rtd", , "ASK", A326)</f>
        <v>185.81</v>
      </c>
      <c r="H326">
        <f>RTD("tos.rtd", , "BID_SIZE", A326)</f>
        <v>2</v>
      </c>
      <c r="I326">
        <f>RTD("tos.rtd", , "ASK_SIZE", A326)</f>
        <v>1</v>
      </c>
      <c r="J326">
        <f>RTD("tos.rtd", , "VOLUME", A326)</f>
        <v>1076421</v>
      </c>
      <c r="K326">
        <f>RTD("tos.rtd", , "OPEN", A326)</f>
        <v>157</v>
      </c>
      <c r="L326">
        <f>RTD("tos.rtd", , "HIGH",A326)</f>
        <v>157.285</v>
      </c>
      <c r="M326">
        <f>RTD("tos.rtd", , "LOW", A326)</f>
        <v>155.89169999999999</v>
      </c>
      <c r="N326">
        <f>RTD("tos.rtd", , "52HIGH", A326)</f>
        <v>159.28</v>
      </c>
      <c r="O326">
        <f>RTD("tos.rtd", , "52LOW", A326)</f>
        <v>112.63</v>
      </c>
      <c r="P326">
        <f>RTD("tos.rtd", , "Mark", A326)</f>
        <v>156.04</v>
      </c>
    </row>
    <row r="327" spans="1:16" x14ac:dyDescent="0.25">
      <c r="A327" t="s">
        <v>339</v>
      </c>
      <c r="B327">
        <f>RTD("tos.rtd", , "Last", A327)</f>
        <v>36.21</v>
      </c>
      <c r="C327" t="str">
        <f>RTD("tos.rtd", , "STRENGTH_METER", A327)</f>
        <v>Range Bound</v>
      </c>
      <c r="D327" t="str">
        <f>RTD("tos.rtd", , "QUOTE_TREND", A327)</f>
        <v>instrument=NEM</v>
      </c>
      <c r="E327">
        <f>RTD("tos.rtd", , "NET_CHANGE", A327)</f>
        <v>0.12</v>
      </c>
      <c r="F327">
        <f>RTD("tos.rtd", , "BID", A327)</f>
        <v>36.119999999999997</v>
      </c>
      <c r="G327">
        <f>RTD("tos.rtd", , "ASK", A327)</f>
        <v>36.25</v>
      </c>
      <c r="H327">
        <f>RTD("tos.rtd", , "BID_SIZE", A327)</f>
        <v>1</v>
      </c>
      <c r="I327">
        <f>RTD("tos.rtd", , "ASK_SIZE", A327)</f>
        <v>1</v>
      </c>
      <c r="J327">
        <f>RTD("tos.rtd", , "VOLUME", A327)</f>
        <v>3137696</v>
      </c>
      <c r="K327">
        <f>RTD("tos.rtd", , "OPEN", A327)</f>
        <v>36.130000000000003</v>
      </c>
      <c r="L327">
        <f>RTD("tos.rtd", , "HIGH",A327)</f>
        <v>36.32</v>
      </c>
      <c r="M327">
        <f>RTD("tos.rtd", , "LOW", A327)</f>
        <v>35.93</v>
      </c>
      <c r="N327">
        <f>RTD("tos.rtd", , "52HIGH", A327)</f>
        <v>39.625</v>
      </c>
      <c r="O327">
        <f>RTD("tos.rtd", , "52LOW", A327)</f>
        <v>30.4</v>
      </c>
      <c r="P327">
        <f>RTD("tos.rtd", , "Mark", A327)</f>
        <v>36.21</v>
      </c>
    </row>
    <row r="328" spans="1:16" x14ac:dyDescent="0.25">
      <c r="A328" t="s">
        <v>340</v>
      </c>
      <c r="B328">
        <f>RTD("tos.rtd", , "Last", A328)</f>
        <v>193.2</v>
      </c>
      <c r="C328" t="str">
        <f>RTD("tos.rtd", , "STRENGTH_METER", A328)</f>
        <v>Range Bound</v>
      </c>
      <c r="D328" t="str">
        <f>RTD("tos.rtd", , "QUOTE_TREND", A328)</f>
        <v>instrument=NFLX</v>
      </c>
      <c r="E328">
        <f>RTD("tos.rtd", , "NET_CHANGE", A328)</f>
        <v>-2.31</v>
      </c>
      <c r="F328">
        <f>RTD("tos.rtd", , "BID", A328)</f>
        <v>192.85</v>
      </c>
      <c r="G328">
        <f>RTD("tos.rtd", , "ASK", A328)</f>
        <v>193.22</v>
      </c>
      <c r="H328">
        <f>RTD("tos.rtd", , "BID_SIZE", A328)</f>
        <v>1</v>
      </c>
      <c r="I328">
        <f>RTD("tos.rtd", , "ASK_SIZE", A328)</f>
        <v>1</v>
      </c>
      <c r="J328">
        <f>RTD("tos.rtd", , "VOLUME", A328)</f>
        <v>3765206</v>
      </c>
      <c r="K328">
        <f>RTD("tos.rtd", , "OPEN", A328)</f>
        <v>195.74</v>
      </c>
      <c r="L328">
        <f>RTD("tos.rtd", , "HIGH",A328)</f>
        <v>195.95</v>
      </c>
      <c r="M328">
        <f>RTD("tos.rtd", , "LOW", A328)</f>
        <v>192.65</v>
      </c>
      <c r="N328">
        <f>RTD("tos.rtd", , "52HIGH", A328)</f>
        <v>204.38</v>
      </c>
      <c r="O328">
        <f>RTD("tos.rtd", , "52LOW", A328)</f>
        <v>111.81</v>
      </c>
      <c r="P328">
        <f>RTD("tos.rtd", , "Mark", A328)</f>
        <v>193.2</v>
      </c>
    </row>
    <row r="329" spans="1:16" x14ac:dyDescent="0.25">
      <c r="A329" t="s">
        <v>341</v>
      </c>
      <c r="B329">
        <f>RTD("tos.rtd", , "Last", A329)</f>
        <v>30.3</v>
      </c>
      <c r="C329" t="str">
        <f>RTD("tos.rtd", , "STRENGTH_METER", A329)</f>
        <v>Range Bound</v>
      </c>
      <c r="D329" t="str">
        <f>RTD("tos.rtd", , "QUOTE_TREND", A329)</f>
        <v>instrument=NFX</v>
      </c>
      <c r="E329">
        <f>RTD("tos.rtd", , "NET_CHANGE", A329)</f>
        <v>0.86</v>
      </c>
      <c r="F329">
        <f>RTD("tos.rtd", , "BID", A329)</f>
        <v>26.5</v>
      </c>
      <c r="G329">
        <f>RTD("tos.rtd", , "ASK", A329)</f>
        <v>31.49</v>
      </c>
      <c r="H329">
        <f>RTD("tos.rtd", , "BID_SIZE", A329)</f>
        <v>3</v>
      </c>
      <c r="I329">
        <f>RTD("tos.rtd", , "ASK_SIZE", A329)</f>
        <v>2</v>
      </c>
      <c r="J329">
        <f>RTD("tos.rtd", , "VOLUME", A329)</f>
        <v>1814385</v>
      </c>
      <c r="K329">
        <f>RTD("tos.rtd", , "OPEN", A329)</f>
        <v>29.74</v>
      </c>
      <c r="L329">
        <f>RTD("tos.rtd", , "HIGH",A329)</f>
        <v>30.37</v>
      </c>
      <c r="M329">
        <f>RTD("tos.rtd", , "LOW", A329)</f>
        <v>29.72</v>
      </c>
      <c r="N329">
        <f>RTD("tos.rtd", , "52HIGH", A329)</f>
        <v>50</v>
      </c>
      <c r="O329">
        <f>RTD("tos.rtd", , "52LOW", A329)</f>
        <v>24.41</v>
      </c>
      <c r="P329">
        <f>RTD("tos.rtd", , "Mark", A329)</f>
        <v>30.3</v>
      </c>
    </row>
    <row r="330" spans="1:16" x14ac:dyDescent="0.25">
      <c r="A330" t="s">
        <v>342</v>
      </c>
      <c r="B330">
        <f>RTD("tos.rtd", , "Last", A330)</f>
        <v>27.08</v>
      </c>
      <c r="C330" t="str">
        <f>RTD("tos.rtd", , "STRENGTH_METER", A330)</f>
        <v>Range Bound</v>
      </c>
      <c r="D330" t="str">
        <f>RTD("tos.rtd", , "QUOTE_TREND", A330)</f>
        <v>instrument=NI</v>
      </c>
      <c r="E330">
        <f>RTD("tos.rtd", , "NET_CHANGE", A330)</f>
        <v>-0.24</v>
      </c>
      <c r="F330">
        <f>RTD("tos.rtd", , "BID", A330)</f>
        <v>25.5</v>
      </c>
      <c r="G330">
        <f>RTD("tos.rtd", , "ASK", A330)</f>
        <v>27.25</v>
      </c>
      <c r="H330">
        <f>RTD("tos.rtd", , "BID_SIZE", A330)</f>
        <v>10</v>
      </c>
      <c r="I330">
        <f>RTD("tos.rtd", , "ASK_SIZE", A330)</f>
        <v>5</v>
      </c>
      <c r="J330">
        <f>RTD("tos.rtd", , "VOLUME", A330)</f>
        <v>6258805</v>
      </c>
      <c r="K330">
        <f>RTD("tos.rtd", , "OPEN", A330)</f>
        <v>27.23</v>
      </c>
      <c r="L330">
        <f>RTD("tos.rtd", , "HIGH",A330)</f>
        <v>27.45</v>
      </c>
      <c r="M330">
        <f>RTD("tos.rtd", , "LOW", A330)</f>
        <v>27.02</v>
      </c>
      <c r="N330">
        <f>RTD("tos.rtd", , "52HIGH", A330)</f>
        <v>27.76</v>
      </c>
      <c r="O330">
        <f>RTD("tos.rtd", , "52LOW", A330)</f>
        <v>21.31</v>
      </c>
      <c r="P330">
        <f>RTD("tos.rtd", , "Mark", A330)</f>
        <v>27.08</v>
      </c>
    </row>
    <row r="331" spans="1:16" x14ac:dyDescent="0.25">
      <c r="A331" t="s">
        <v>343</v>
      </c>
      <c r="B331">
        <f>RTD("tos.rtd", , "Last", A331)</f>
        <v>59.19</v>
      </c>
      <c r="C331" t="str">
        <f>RTD("tos.rtd", , "STRENGTH_METER", A331)</f>
        <v>Range Bound</v>
      </c>
      <c r="D331" t="str">
        <f>RTD("tos.rtd", , "QUOTE_TREND", A331)</f>
        <v>instrument=NKE</v>
      </c>
      <c r="E331">
        <f>RTD("tos.rtd", , "NET_CHANGE", A331)</f>
        <v>1.96</v>
      </c>
      <c r="F331">
        <f>RTD("tos.rtd", , "BID", A331)</f>
        <v>59.03</v>
      </c>
      <c r="G331">
        <f>RTD("tos.rtd", , "ASK", A331)</f>
        <v>59.16</v>
      </c>
      <c r="H331">
        <f>RTD("tos.rtd", , "BID_SIZE", A331)</f>
        <v>3</v>
      </c>
      <c r="I331">
        <f>RTD("tos.rtd", , "ASK_SIZE", A331)</f>
        <v>9</v>
      </c>
      <c r="J331">
        <f>RTD("tos.rtd", , "VOLUME", A331)</f>
        <v>15378320</v>
      </c>
      <c r="K331">
        <f>RTD("tos.rtd", , "OPEN", A331)</f>
        <v>58.54</v>
      </c>
      <c r="L331">
        <f>RTD("tos.rtd", , "HIGH",A331)</f>
        <v>59.53</v>
      </c>
      <c r="M331">
        <f>RTD("tos.rtd", , "LOW", A331)</f>
        <v>58.37</v>
      </c>
      <c r="N331">
        <f>RTD("tos.rtd", , "52HIGH", A331)</f>
        <v>60.53</v>
      </c>
      <c r="O331">
        <f>RTD("tos.rtd", , "52LOW", A331)</f>
        <v>49.95</v>
      </c>
      <c r="P331">
        <f>RTD("tos.rtd", , "Mark", A331)</f>
        <v>59.16</v>
      </c>
    </row>
    <row r="332" spans="1:16" x14ac:dyDescent="0.25">
      <c r="A332" t="s">
        <v>344</v>
      </c>
      <c r="B332">
        <f>RTD("tos.rtd", , "Last", A332)</f>
        <v>296.85000000000002</v>
      </c>
      <c r="C332" t="str">
        <f>RTD("tos.rtd", , "STRENGTH_METER", A332)</f>
        <v>Range Bound</v>
      </c>
      <c r="D332" t="str">
        <f>RTD("tos.rtd", , "QUOTE_TREND", A332)</f>
        <v>instrument=NOC</v>
      </c>
      <c r="E332">
        <f>RTD("tos.rtd", , "NET_CHANGE", A332)</f>
        <v>-3.7</v>
      </c>
      <c r="F332">
        <f>RTD("tos.rtd", , "BID", A332)</f>
        <v>295.39999999999998</v>
      </c>
      <c r="G332">
        <f>RTD("tos.rtd", , "ASK", A332)</f>
        <v>299.35000000000002</v>
      </c>
      <c r="H332">
        <f>RTD("tos.rtd", , "BID_SIZE", A332)</f>
        <v>1</v>
      </c>
      <c r="I332">
        <f>RTD("tos.rtd", , "ASK_SIZE", A332)</f>
        <v>1</v>
      </c>
      <c r="J332">
        <f>RTD("tos.rtd", , "VOLUME", A332)</f>
        <v>457226</v>
      </c>
      <c r="K332">
        <f>RTD("tos.rtd", , "OPEN", A332)</f>
        <v>299.57</v>
      </c>
      <c r="L332">
        <f>RTD("tos.rtd", , "HIGH",A332)</f>
        <v>300.09469999999999</v>
      </c>
      <c r="M332">
        <f>RTD("tos.rtd", , "LOW", A332)</f>
        <v>296.67</v>
      </c>
      <c r="N332">
        <f>RTD("tos.rtd", , "52HIGH", A332)</f>
        <v>306.61</v>
      </c>
      <c r="O332">
        <f>RTD("tos.rtd", , "52LOW", A332)</f>
        <v>220.72</v>
      </c>
      <c r="P332">
        <f>RTD("tos.rtd", , "Mark", A332)</f>
        <v>296.85000000000002</v>
      </c>
    </row>
    <row r="333" spans="1:16" x14ac:dyDescent="0.25">
      <c r="A333" t="s">
        <v>345</v>
      </c>
      <c r="B333">
        <f>RTD("tos.rtd", , "Last", A333)</f>
        <v>32.020000000000003</v>
      </c>
      <c r="C333" t="str">
        <f>RTD("tos.rtd", , "STRENGTH_METER", A333)</f>
        <v>Range Bound</v>
      </c>
      <c r="D333" t="str">
        <f>RTD("tos.rtd", , "QUOTE_TREND", A333)</f>
        <v>instrument=NOV</v>
      </c>
      <c r="E333">
        <f>RTD("tos.rtd", , "NET_CHANGE", A333)</f>
        <v>0.51</v>
      </c>
      <c r="F333">
        <f>RTD("tos.rtd", , "BID", A333)</f>
        <v>31.92</v>
      </c>
      <c r="G333">
        <f>RTD("tos.rtd", , "ASK", A333)</f>
        <v>32.04</v>
      </c>
      <c r="H333">
        <f>RTD("tos.rtd", , "BID_SIZE", A333)</f>
        <v>1</v>
      </c>
      <c r="I333">
        <f>RTD("tos.rtd", , "ASK_SIZE", A333)</f>
        <v>1</v>
      </c>
      <c r="J333">
        <f>RTD("tos.rtd", , "VOLUME", A333)</f>
        <v>2838565</v>
      </c>
      <c r="K333">
        <f>RTD("tos.rtd", , "OPEN", A333)</f>
        <v>31.57</v>
      </c>
      <c r="L333">
        <f>RTD("tos.rtd", , "HIGH",A333)</f>
        <v>32.155000000000001</v>
      </c>
      <c r="M333">
        <f>RTD("tos.rtd", , "LOW", A333)</f>
        <v>31.5108</v>
      </c>
      <c r="N333">
        <f>RTD("tos.rtd", , "52HIGH", A333)</f>
        <v>43.63</v>
      </c>
      <c r="O333">
        <f>RTD("tos.rtd", , "52LOW", A333)</f>
        <v>29.9</v>
      </c>
      <c r="P333">
        <f>RTD("tos.rtd", , "Mark", A333)</f>
        <v>32.020000000000003</v>
      </c>
    </row>
    <row r="334" spans="1:16" x14ac:dyDescent="0.25">
      <c r="A334" t="s">
        <v>346</v>
      </c>
      <c r="B334">
        <f>RTD("tos.rtd", , "Last", A334)</f>
        <v>29.49</v>
      </c>
      <c r="C334" t="str">
        <f>RTD("tos.rtd", , "STRENGTH_METER", A334)</f>
        <v>Uptrend</v>
      </c>
      <c r="D334" t="str">
        <f>RTD("tos.rtd", , "QUOTE_TREND", A334)</f>
        <v>instrument=NRG</v>
      </c>
      <c r="E334">
        <f>RTD("tos.rtd", , "NET_CHANGE", A334)</f>
        <v>0.05</v>
      </c>
      <c r="F334">
        <f>RTD("tos.rtd", , "BID", A334)</f>
        <v>29.4</v>
      </c>
      <c r="G334">
        <f>RTD("tos.rtd", , "ASK", A334)</f>
        <v>29.53</v>
      </c>
      <c r="H334">
        <f>RTD("tos.rtd", , "BID_SIZE", A334)</f>
        <v>1</v>
      </c>
      <c r="I334">
        <f>RTD("tos.rtd", , "ASK_SIZE", A334)</f>
        <v>2</v>
      </c>
      <c r="J334">
        <f>RTD("tos.rtd", , "VOLUME", A334)</f>
        <v>3057822</v>
      </c>
      <c r="K334">
        <f>RTD("tos.rtd", , "OPEN", A334)</f>
        <v>29.4</v>
      </c>
      <c r="L334">
        <f>RTD("tos.rtd", , "HIGH",A334)</f>
        <v>29.65</v>
      </c>
      <c r="M334">
        <f>RTD("tos.rtd", , "LOW", A334)</f>
        <v>29.18</v>
      </c>
      <c r="N334">
        <f>RTD("tos.rtd", , "52HIGH", A334)</f>
        <v>29.78</v>
      </c>
      <c r="O334">
        <f>RTD("tos.rtd", , "52LOW", A334)</f>
        <v>10.75</v>
      </c>
      <c r="P334">
        <f>RTD("tos.rtd", , "Mark", A334)</f>
        <v>29.49</v>
      </c>
    </row>
    <row r="335" spans="1:16" x14ac:dyDescent="0.25">
      <c r="A335" t="s">
        <v>347</v>
      </c>
      <c r="B335">
        <f>RTD("tos.rtd", , "Last", A335)</f>
        <v>127.54</v>
      </c>
      <c r="C335" t="str">
        <f>RTD("tos.rtd", , "STRENGTH_METER", A335)</f>
        <v>Range Bound</v>
      </c>
      <c r="D335" t="str">
        <f>RTD("tos.rtd", , "QUOTE_TREND", A335)</f>
        <v>instrument=NSC</v>
      </c>
      <c r="E335">
        <f>RTD("tos.rtd", , "NET_CHANGE", A335)</f>
        <v>-1.68</v>
      </c>
      <c r="F335">
        <f>RTD("tos.rtd", , "BID", A335)</f>
        <v>122.1</v>
      </c>
      <c r="G335">
        <f>RTD("tos.rtd", , "ASK", A335)</f>
        <v>128.22999999999999</v>
      </c>
      <c r="H335">
        <f>RTD("tos.rtd", , "BID_SIZE", A335)</f>
        <v>9</v>
      </c>
      <c r="I335">
        <f>RTD("tos.rtd", , "ASK_SIZE", A335)</f>
        <v>1</v>
      </c>
      <c r="J335">
        <f>RTD("tos.rtd", , "VOLUME", A335)</f>
        <v>1205958</v>
      </c>
      <c r="K335">
        <f>RTD("tos.rtd", , "OPEN", A335)</f>
        <v>128.4</v>
      </c>
      <c r="L335">
        <f>RTD("tos.rtd", , "HIGH",A335)</f>
        <v>129.44999999999999</v>
      </c>
      <c r="M335">
        <f>RTD("tos.rtd", , "LOW", A335)</f>
        <v>127.4</v>
      </c>
      <c r="N335">
        <f>RTD("tos.rtd", , "52HIGH", A335)</f>
        <v>134.52000000000001</v>
      </c>
      <c r="O335">
        <f>RTD("tos.rtd", , "52LOW", A335)</f>
        <v>102.59099999999999</v>
      </c>
      <c r="P335">
        <f>RTD("tos.rtd", , "Mark", A335)</f>
        <v>127.54</v>
      </c>
    </row>
    <row r="336" spans="1:16" x14ac:dyDescent="0.25">
      <c r="A336" t="s">
        <v>348</v>
      </c>
      <c r="B336">
        <f>RTD("tos.rtd", , "Last", A336)</f>
        <v>52.95</v>
      </c>
      <c r="C336" t="str">
        <f>RTD("tos.rtd", , "STRENGTH_METER", A336)</f>
        <v>Uptrend</v>
      </c>
      <c r="D336" t="str">
        <f>RTD("tos.rtd", , "QUOTE_TREND", A336)</f>
        <v>instrument=NTAP</v>
      </c>
      <c r="E336">
        <f>RTD("tos.rtd", , "NET_CHANGE", A336)</f>
        <v>-0.16</v>
      </c>
      <c r="F336">
        <f>RTD("tos.rtd", , "BID", A336)</f>
        <v>52.5</v>
      </c>
      <c r="G336">
        <f>RTD("tos.rtd", , "ASK", A336)</f>
        <v>53.3</v>
      </c>
      <c r="H336">
        <f>RTD("tos.rtd", , "BID_SIZE", A336)</f>
        <v>1</v>
      </c>
      <c r="I336">
        <f>RTD("tos.rtd", , "ASK_SIZE", A336)</f>
        <v>2</v>
      </c>
      <c r="J336">
        <f>RTD("tos.rtd", , "VOLUME", A336)</f>
        <v>5606789</v>
      </c>
      <c r="K336">
        <f>RTD("tos.rtd", , "OPEN", A336)</f>
        <v>53.03</v>
      </c>
      <c r="L336">
        <f>RTD("tos.rtd", , "HIGH",A336)</f>
        <v>54.72</v>
      </c>
      <c r="M336">
        <f>RTD("tos.rtd", , "LOW", A336)</f>
        <v>52.5</v>
      </c>
      <c r="N336">
        <f>RTD("tos.rtd", , "52HIGH", A336)</f>
        <v>53.89</v>
      </c>
      <c r="O336">
        <f>RTD("tos.rtd", , "52LOW", A336)</f>
        <v>34.380000000000003</v>
      </c>
      <c r="P336">
        <f>RTD("tos.rtd", , "Mark", A336)</f>
        <v>52.95</v>
      </c>
    </row>
    <row r="337" spans="1:16" x14ac:dyDescent="0.25">
      <c r="A337" t="s">
        <v>349</v>
      </c>
      <c r="B337">
        <f>RTD("tos.rtd", , "Last", A337)</f>
        <v>94.07</v>
      </c>
      <c r="C337" t="str">
        <f>RTD("tos.rtd", , "STRENGTH_METER", A337)</f>
        <v>Range Bound</v>
      </c>
      <c r="D337" t="str">
        <f>RTD("tos.rtd", , "QUOTE_TREND", A337)</f>
        <v>instrument=NTRS</v>
      </c>
      <c r="E337">
        <f>RTD("tos.rtd", , "NET_CHANGE", A337)</f>
        <v>0.36</v>
      </c>
      <c r="F337">
        <f>RTD("tos.rtd", , "BID", A337)</f>
        <v>89.11</v>
      </c>
      <c r="G337">
        <f>RTD("tos.rtd", , "ASK", A337)</f>
        <v>94.72</v>
      </c>
      <c r="H337">
        <f>RTD("tos.rtd", , "BID_SIZE", A337)</f>
        <v>3</v>
      </c>
      <c r="I337">
        <f>RTD("tos.rtd", , "ASK_SIZE", A337)</f>
        <v>2</v>
      </c>
      <c r="J337">
        <f>RTD("tos.rtd", , "VOLUME", A337)</f>
        <v>1066521</v>
      </c>
      <c r="K337">
        <f>RTD("tos.rtd", , "OPEN", A337)</f>
        <v>93.27</v>
      </c>
      <c r="L337">
        <f>RTD("tos.rtd", , "HIGH",A337)</f>
        <v>94.644999999999996</v>
      </c>
      <c r="M337">
        <f>RTD("tos.rtd", , "LOW", A337)</f>
        <v>93.26</v>
      </c>
      <c r="N337">
        <f>RTD("tos.rtd", , "52HIGH", A337)</f>
        <v>99.3</v>
      </c>
      <c r="O337">
        <f>RTD("tos.rtd", , "52LOW", A337)</f>
        <v>80.489999999999995</v>
      </c>
      <c r="P337">
        <f>RTD("tos.rtd", , "Mark", A337)</f>
        <v>94.07</v>
      </c>
    </row>
    <row r="338" spans="1:16" x14ac:dyDescent="0.25">
      <c r="A338" t="s">
        <v>350</v>
      </c>
      <c r="B338">
        <f>RTD("tos.rtd", , "Last", A338)</f>
        <v>137.15</v>
      </c>
      <c r="C338" t="str">
        <f>RTD("tos.rtd", , "STRENGTH_METER", A338)</f>
        <v>N/A</v>
      </c>
      <c r="D338" t="str">
        <f>RTD("tos.rtd", , "QUOTE_TREND", A338)</f>
        <v>instrument=NU</v>
      </c>
      <c r="E338">
        <f>RTD("tos.rtd", , "NET_CHANGE", A338)</f>
        <v>0</v>
      </c>
      <c r="F338">
        <f>RTD("tos.rtd", , "BID", A338)</f>
        <v>123.72</v>
      </c>
      <c r="G338">
        <f>RTD("tos.rtd", , "ASK", A338)</f>
        <v>114.45</v>
      </c>
      <c r="H338">
        <f>RTD("tos.rtd", , "BID_SIZE", A338)</f>
        <v>0</v>
      </c>
      <c r="I338">
        <f>RTD("tos.rtd", , "ASK_SIZE", A338)</f>
        <v>0</v>
      </c>
      <c r="J338">
        <f>RTD("tos.rtd", , "VOLUME", A338)</f>
        <v>0</v>
      </c>
      <c r="K338">
        <f>RTD("tos.rtd", , "OPEN", A338)</f>
        <v>0</v>
      </c>
      <c r="L338">
        <f>RTD("tos.rtd", , "HIGH",A338)</f>
        <v>0</v>
      </c>
      <c r="M338">
        <f>RTD("tos.rtd", , "LOW", A338)</f>
        <v>0</v>
      </c>
      <c r="N338">
        <f>RTD("tos.rtd", , "52HIGH", A338)</f>
        <v>149.51</v>
      </c>
      <c r="O338">
        <f>RTD("tos.rtd", , "52LOW", A338)</f>
        <v>100.03</v>
      </c>
      <c r="P338">
        <f>RTD("tos.rtd", , "Mark", A338)</f>
        <v>137.15</v>
      </c>
    </row>
    <row r="339" spans="1:16" x14ac:dyDescent="0.25">
      <c r="A339" t="s">
        <v>351</v>
      </c>
      <c r="B339">
        <f>RTD("tos.rtd", , "Last", A339)</f>
        <v>54.8</v>
      </c>
      <c r="C339" t="str">
        <f>RTD("tos.rtd", , "STRENGTH_METER", A339)</f>
        <v>Range Bound</v>
      </c>
      <c r="D339" t="str">
        <f>RTD("tos.rtd", , "QUOTE_TREND", A339)</f>
        <v>instrument=NUE</v>
      </c>
      <c r="E339">
        <f>RTD("tos.rtd", , "NET_CHANGE", A339)</f>
        <v>0.01</v>
      </c>
      <c r="F339">
        <f>RTD("tos.rtd", , "BID", A339)</f>
        <v>54.32</v>
      </c>
      <c r="G339">
        <f>RTD("tos.rtd", , "ASK", A339)</f>
        <v>55</v>
      </c>
      <c r="H339">
        <f>RTD("tos.rtd", , "BID_SIZE", A339)</f>
        <v>5</v>
      </c>
      <c r="I339">
        <f>RTD("tos.rtd", , "ASK_SIZE", A339)</f>
        <v>20</v>
      </c>
      <c r="J339">
        <f>RTD("tos.rtd", , "VOLUME", A339)</f>
        <v>1305666</v>
      </c>
      <c r="K339">
        <f>RTD("tos.rtd", , "OPEN", A339)</f>
        <v>54.5</v>
      </c>
      <c r="L339">
        <f>RTD("tos.rtd", , "HIGH",A339)</f>
        <v>55.085000000000001</v>
      </c>
      <c r="M339">
        <f>RTD("tos.rtd", , "LOW", A339)</f>
        <v>54.32</v>
      </c>
      <c r="N339">
        <f>RTD("tos.rtd", , "52HIGH", A339)</f>
        <v>68</v>
      </c>
      <c r="O339">
        <f>RTD("tos.rtd", , "52LOW", A339)</f>
        <v>51.67</v>
      </c>
      <c r="P339">
        <f>RTD("tos.rtd", , "Mark", A339)</f>
        <v>54.8</v>
      </c>
    </row>
    <row r="340" spans="1:16" x14ac:dyDescent="0.25">
      <c r="A340" t="s">
        <v>352</v>
      </c>
      <c r="B340">
        <f>RTD("tos.rtd", , "Last", A340)</f>
        <v>211.36</v>
      </c>
      <c r="C340" t="str">
        <f>RTD("tos.rtd", , "STRENGTH_METER", A340)</f>
        <v>Range Bound</v>
      </c>
      <c r="D340" t="str">
        <f>RTD("tos.rtd", , "QUOTE_TREND", A340)</f>
        <v>instrument=NVDA</v>
      </c>
      <c r="E340">
        <f>RTD("tos.rtd", , "NET_CHANGE", A340)</f>
        <v>-0.25</v>
      </c>
      <c r="F340">
        <f>RTD("tos.rtd", , "BID", A340)</f>
        <v>211.3</v>
      </c>
      <c r="G340">
        <f>RTD("tos.rtd", , "ASK", A340)</f>
        <v>211.35</v>
      </c>
      <c r="H340">
        <f>RTD("tos.rtd", , "BID_SIZE", A340)</f>
        <v>3</v>
      </c>
      <c r="I340">
        <f>RTD("tos.rtd", , "ASK_SIZE", A340)</f>
        <v>2</v>
      </c>
      <c r="J340">
        <f>RTD("tos.rtd", , "VOLUME", A340)</f>
        <v>12821622</v>
      </c>
      <c r="K340">
        <f>RTD("tos.rtd", , "OPEN", A340)</f>
        <v>213.92</v>
      </c>
      <c r="L340">
        <f>RTD("tos.rtd", , "HIGH",A340)</f>
        <v>215.35</v>
      </c>
      <c r="M340">
        <f>RTD("tos.rtd", , "LOW", A340)</f>
        <v>210.75</v>
      </c>
      <c r="N340">
        <f>RTD("tos.rtd", , "52HIGH", A340)</f>
        <v>218.67</v>
      </c>
      <c r="O340">
        <f>RTD("tos.rtd", , "52LOW", A340)</f>
        <v>84.77</v>
      </c>
      <c r="P340">
        <f>RTD("tos.rtd", , "Mark", A340)</f>
        <v>211.35</v>
      </c>
    </row>
    <row r="341" spans="1:16" x14ac:dyDescent="0.25">
      <c r="A341" t="s">
        <v>353</v>
      </c>
      <c r="B341">
        <f>RTD("tos.rtd", , "Last", A341)</f>
        <v>28.56</v>
      </c>
      <c r="C341" t="str">
        <f>RTD("tos.rtd", , "STRENGTH_METER", A341)</f>
        <v>Downtrend</v>
      </c>
      <c r="D341" t="str">
        <f>RTD("tos.rtd", , "QUOTE_TREND", A341)</f>
        <v>instrument=NWL</v>
      </c>
      <c r="E341">
        <f>RTD("tos.rtd", , "NET_CHANGE", A341)</f>
        <v>0.38</v>
      </c>
      <c r="F341">
        <f>RTD("tos.rtd", , "BID", A341)</f>
        <v>28.51</v>
      </c>
      <c r="G341">
        <f>RTD("tos.rtd", , "ASK", A341)</f>
        <v>28.6</v>
      </c>
      <c r="H341">
        <f>RTD("tos.rtd", , "BID_SIZE", A341)</f>
        <v>1</v>
      </c>
      <c r="I341">
        <f>RTD("tos.rtd", , "ASK_SIZE", A341)</f>
        <v>1</v>
      </c>
      <c r="J341">
        <f>RTD("tos.rtd", , "VOLUME", A341)</f>
        <v>5642086</v>
      </c>
      <c r="K341">
        <f>RTD("tos.rtd", , "OPEN", A341)</f>
        <v>28.15</v>
      </c>
      <c r="L341">
        <f>RTD("tos.rtd", , "HIGH",A341)</f>
        <v>28.704999999999998</v>
      </c>
      <c r="M341">
        <f>RTD("tos.rtd", , "LOW", A341)</f>
        <v>27.99</v>
      </c>
      <c r="N341">
        <f>RTD("tos.rtd", , "52HIGH", A341)</f>
        <v>55.08</v>
      </c>
      <c r="O341">
        <f>RTD("tos.rtd", , "52LOW", A341)</f>
        <v>27.454999999999998</v>
      </c>
      <c r="P341">
        <f>RTD("tos.rtd", , "Mark", A341)</f>
        <v>28.56</v>
      </c>
    </row>
    <row r="342" spans="1:16" x14ac:dyDescent="0.25">
      <c r="A342" t="s">
        <v>354</v>
      </c>
      <c r="B342">
        <f>RTD("tos.rtd", , "Last", A342)</f>
        <v>15.84</v>
      </c>
      <c r="C342" t="str">
        <f>RTD("tos.rtd", , "STRENGTH_METER", A342)</f>
        <v>Uptrend</v>
      </c>
      <c r="D342" t="str">
        <f>RTD("tos.rtd", , "QUOTE_TREND", A342)</f>
        <v>instrument=NWSA</v>
      </c>
      <c r="E342">
        <f>RTD("tos.rtd", , "NET_CHANGE", A342)</f>
        <v>0.12</v>
      </c>
      <c r="F342">
        <f>RTD("tos.rtd", , "BID", A342)</f>
        <v>15.81</v>
      </c>
      <c r="G342">
        <f>RTD("tos.rtd", , "ASK", A342)</f>
        <v>15.88</v>
      </c>
      <c r="H342">
        <f>RTD("tos.rtd", , "BID_SIZE", A342)</f>
        <v>3</v>
      </c>
      <c r="I342">
        <f>RTD("tos.rtd", , "ASK_SIZE", A342)</f>
        <v>10</v>
      </c>
      <c r="J342">
        <f>RTD("tos.rtd", , "VOLUME", A342)</f>
        <v>2523630</v>
      </c>
      <c r="K342">
        <f>RTD("tos.rtd", , "OPEN", A342)</f>
        <v>15.69</v>
      </c>
      <c r="L342">
        <f>RTD("tos.rtd", , "HIGH",A342)</f>
        <v>15.93</v>
      </c>
      <c r="M342">
        <f>RTD("tos.rtd", , "LOW", A342)</f>
        <v>15.59</v>
      </c>
      <c r="N342">
        <f>RTD("tos.rtd", , "52HIGH", A342)</f>
        <v>15.79</v>
      </c>
      <c r="O342">
        <f>RTD("tos.rtd", , "52LOW", A342)</f>
        <v>11.414999999999999</v>
      </c>
      <c r="P342">
        <f>RTD("tos.rtd", , "Mark", A342)</f>
        <v>15.84</v>
      </c>
    </row>
    <row r="343" spans="1:16" x14ac:dyDescent="0.25">
      <c r="A343" t="s">
        <v>355</v>
      </c>
      <c r="B343" t="str">
        <f>RTD("tos.rtd", , "Last", A343)</f>
        <v>N/A</v>
      </c>
      <c r="C343" t="str">
        <f>RTD("tos.rtd", , "STRENGTH_METER", A343)</f>
        <v>N/A</v>
      </c>
      <c r="D343" t="str">
        <f>RTD("tos.rtd", , "QUOTE_TREND", A343)</f>
        <v>instrument=NYX</v>
      </c>
      <c r="E343" t="str">
        <f>RTD("tos.rtd", , "NET_CHANGE", A343)</f>
        <v>N/A</v>
      </c>
      <c r="F343" t="str">
        <f>RTD("tos.rtd", , "BID", A343)</f>
        <v>N/A</v>
      </c>
      <c r="G343" t="str">
        <f>RTD("tos.rtd", , "ASK", A343)</f>
        <v>N/A</v>
      </c>
      <c r="H343">
        <f>RTD("tos.rtd", , "BID_SIZE", A343)</f>
        <v>0</v>
      </c>
      <c r="I343">
        <f>RTD("tos.rtd", , "ASK_SIZE", A343)</f>
        <v>0</v>
      </c>
      <c r="J343" t="str">
        <f>RTD("tos.rtd", , "VOLUME", A343)</f>
        <v>N/A</v>
      </c>
      <c r="K343" t="str">
        <f>RTD("tos.rtd", , "OPEN", A343)</f>
        <v>N/A</v>
      </c>
      <c r="L343" t="str">
        <f>RTD("tos.rtd", , "HIGH",A343)</f>
        <v>N/A</v>
      </c>
      <c r="M343" t="str">
        <f>RTD("tos.rtd", , "LOW", A343)</f>
        <v>N/A</v>
      </c>
      <c r="N343" t="str">
        <f>RTD("tos.rtd", , "52HIGH", A343)</f>
        <v>N/A</v>
      </c>
      <c r="O343" t="str">
        <f>RTD("tos.rtd", , "52LOW", A343)</f>
        <v>N/A</v>
      </c>
      <c r="P343" t="str">
        <f>RTD("tos.rtd", , "Mark", A343)</f>
        <v>N/A</v>
      </c>
    </row>
    <row r="344" spans="1:16" x14ac:dyDescent="0.25">
      <c r="A344" t="s">
        <v>356</v>
      </c>
      <c r="B344">
        <f>RTD("tos.rtd", , "Last", A344)</f>
        <v>23.16</v>
      </c>
      <c r="C344" t="str">
        <f>RTD("tos.rtd", , "STRENGTH_METER", A344)</f>
        <v>Range Bound</v>
      </c>
      <c r="D344" t="str">
        <f>RTD("tos.rtd", , "QUOTE_TREND", A344)</f>
        <v>instrument=OI</v>
      </c>
      <c r="E344">
        <f>RTD("tos.rtd", , "NET_CHANGE", A344)</f>
        <v>-0.05</v>
      </c>
      <c r="F344">
        <f>RTD("tos.rtd", , "BID", A344)</f>
        <v>23.11</v>
      </c>
      <c r="G344">
        <f>RTD("tos.rtd", , "ASK", A344)</f>
        <v>25.5</v>
      </c>
      <c r="H344">
        <f>RTD("tos.rtd", , "BID_SIZE", A344)</f>
        <v>2</v>
      </c>
      <c r="I344">
        <f>RTD("tos.rtd", , "ASK_SIZE", A344)</f>
        <v>3</v>
      </c>
      <c r="J344">
        <f>RTD("tos.rtd", , "VOLUME", A344)</f>
        <v>1618795</v>
      </c>
      <c r="K344">
        <f>RTD("tos.rtd", , "OPEN", A344)</f>
        <v>23.15</v>
      </c>
      <c r="L344">
        <f>RTD("tos.rtd", , "HIGH",A344)</f>
        <v>23.22</v>
      </c>
      <c r="M344">
        <f>RTD("tos.rtd", , "LOW", A344)</f>
        <v>23.04</v>
      </c>
      <c r="N344">
        <f>RTD("tos.rtd", , "52HIGH", A344)</f>
        <v>25.9</v>
      </c>
      <c r="O344">
        <f>RTD("tos.rtd", , "52LOW", A344)</f>
        <v>17.309999999999999</v>
      </c>
      <c r="P344">
        <f>RTD("tos.rtd", , "Mark", A344)</f>
        <v>23.16</v>
      </c>
    </row>
    <row r="345" spans="1:16" x14ac:dyDescent="0.25">
      <c r="A345" t="s">
        <v>357</v>
      </c>
      <c r="B345">
        <f>RTD("tos.rtd", , "Last", A345)</f>
        <v>50.67</v>
      </c>
      <c r="C345" t="str">
        <f>RTD("tos.rtd", , "STRENGTH_METER", A345)</f>
        <v>Range Bound</v>
      </c>
      <c r="D345" t="str">
        <f>RTD("tos.rtd", , "QUOTE_TREND", A345)</f>
        <v>instrument=OKE</v>
      </c>
      <c r="E345">
        <f>RTD("tos.rtd", , "NET_CHANGE", A345)</f>
        <v>0.02</v>
      </c>
      <c r="F345">
        <f>RTD("tos.rtd", , "BID", A345)</f>
        <v>49.25</v>
      </c>
      <c r="G345">
        <f>RTD("tos.rtd", , "ASK", A345)</f>
        <v>50.97</v>
      </c>
      <c r="H345">
        <f>RTD("tos.rtd", , "BID_SIZE", A345)</f>
        <v>1</v>
      </c>
      <c r="I345">
        <f>RTD("tos.rtd", , "ASK_SIZE", A345)</f>
        <v>6</v>
      </c>
      <c r="J345">
        <f>RTD("tos.rtd", , "VOLUME", A345)</f>
        <v>1522177</v>
      </c>
      <c r="K345">
        <f>RTD("tos.rtd", , "OPEN", A345)</f>
        <v>50.76</v>
      </c>
      <c r="L345">
        <f>RTD("tos.rtd", , "HIGH",A345)</f>
        <v>50.77</v>
      </c>
      <c r="M345">
        <f>RTD("tos.rtd", , "LOW", A345)</f>
        <v>50.296900000000001</v>
      </c>
      <c r="N345">
        <f>RTD("tos.rtd", , "52HIGH", A345)</f>
        <v>59.47</v>
      </c>
      <c r="O345">
        <f>RTD("tos.rtd", , "52LOW", A345)</f>
        <v>47.14</v>
      </c>
      <c r="P345">
        <f>RTD("tos.rtd", , "Mark", A345)</f>
        <v>50.67</v>
      </c>
    </row>
    <row r="346" spans="1:16" x14ac:dyDescent="0.25">
      <c r="A346" t="s">
        <v>358</v>
      </c>
      <c r="B346">
        <f>RTD("tos.rtd", , "Last", A346)</f>
        <v>69.44</v>
      </c>
      <c r="C346" t="str">
        <f>RTD("tos.rtd", , "STRENGTH_METER", A346)</f>
        <v>Range Bound</v>
      </c>
      <c r="D346" t="str">
        <f>RTD("tos.rtd", , "QUOTE_TREND", A346)</f>
        <v>instrument=OMC</v>
      </c>
      <c r="E346">
        <f>RTD("tos.rtd", , "NET_CHANGE", A346)</f>
        <v>1.99</v>
      </c>
      <c r="F346">
        <f>RTD("tos.rtd", , "BID", A346)</f>
        <v>68.86</v>
      </c>
      <c r="G346">
        <f>RTD("tos.rtd", , "ASK", A346)</f>
        <v>71.7</v>
      </c>
      <c r="H346">
        <f>RTD("tos.rtd", , "BID_SIZE", A346)</f>
        <v>6</v>
      </c>
      <c r="I346">
        <f>RTD("tos.rtd", , "ASK_SIZE", A346)</f>
        <v>1</v>
      </c>
      <c r="J346">
        <f>RTD("tos.rtd", , "VOLUME", A346)</f>
        <v>4783586</v>
      </c>
      <c r="K346">
        <f>RTD("tos.rtd", , "OPEN", A346)</f>
        <v>67.34</v>
      </c>
      <c r="L346">
        <f>RTD("tos.rtd", , "HIGH",A346)</f>
        <v>69.56</v>
      </c>
      <c r="M346">
        <f>RTD("tos.rtd", , "LOW", A346)</f>
        <v>67.3</v>
      </c>
      <c r="N346">
        <f>RTD("tos.rtd", , "52HIGH", A346)</f>
        <v>89.66</v>
      </c>
      <c r="O346">
        <f>RTD("tos.rtd", , "52LOW", A346)</f>
        <v>65.319999999999993</v>
      </c>
      <c r="P346">
        <f>RTD("tos.rtd", , "Mark", A346)</f>
        <v>69.44</v>
      </c>
    </row>
    <row r="347" spans="1:16" x14ac:dyDescent="0.25">
      <c r="A347" t="s">
        <v>359</v>
      </c>
      <c r="B347">
        <f>RTD("tos.rtd", , "Last", A347)</f>
        <v>48.94</v>
      </c>
      <c r="C347" t="str">
        <f>RTD("tos.rtd", , "STRENGTH_METER", A347)</f>
        <v>Range Bound</v>
      </c>
      <c r="D347" t="str">
        <f>RTD("tos.rtd", , "QUOTE_TREND", A347)</f>
        <v>instrument=ORCL</v>
      </c>
      <c r="E347">
        <f>RTD("tos.rtd", , "NET_CHANGE", A347)</f>
        <v>-0.26</v>
      </c>
      <c r="F347">
        <f>RTD("tos.rtd", , "BID", A347)</f>
        <v>48.9</v>
      </c>
      <c r="G347">
        <f>RTD("tos.rtd", , "ASK", A347)</f>
        <v>48.98</v>
      </c>
      <c r="H347">
        <f>RTD("tos.rtd", , "BID_SIZE", A347)</f>
        <v>4</v>
      </c>
      <c r="I347">
        <f>RTD("tos.rtd", , "ASK_SIZE", A347)</f>
        <v>1</v>
      </c>
      <c r="J347">
        <f>RTD("tos.rtd", , "VOLUME", A347)</f>
        <v>9965493</v>
      </c>
      <c r="K347">
        <f>RTD("tos.rtd", , "OPEN", A347)</f>
        <v>49</v>
      </c>
      <c r="L347">
        <f>RTD("tos.rtd", , "HIGH",A347)</f>
        <v>49.23</v>
      </c>
      <c r="M347">
        <f>RTD("tos.rtd", , "LOW", A347)</f>
        <v>48.85</v>
      </c>
      <c r="N347">
        <f>RTD("tos.rtd", , "52HIGH", A347)</f>
        <v>53.14</v>
      </c>
      <c r="O347">
        <f>RTD("tos.rtd", , "52LOW", A347)</f>
        <v>37.64</v>
      </c>
      <c r="P347">
        <f>RTD("tos.rtd", , "Mark", A347)</f>
        <v>48.94</v>
      </c>
    </row>
    <row r="348" spans="1:16" x14ac:dyDescent="0.25">
      <c r="A348" t="s">
        <v>360</v>
      </c>
      <c r="B348">
        <f>RTD("tos.rtd", , "Last", A348)</f>
        <v>220.49</v>
      </c>
      <c r="C348" t="str">
        <f>RTD("tos.rtd", , "STRENGTH_METER", A348)</f>
        <v>Range Bound</v>
      </c>
      <c r="D348" t="str">
        <f>RTD("tos.rtd", , "QUOTE_TREND", A348)</f>
        <v>instrument=ORLY</v>
      </c>
      <c r="E348">
        <f>RTD("tos.rtd", , "NET_CHANGE", A348)</f>
        <v>0.83</v>
      </c>
      <c r="F348">
        <f>RTD("tos.rtd", , "BID", A348)</f>
        <v>211.84</v>
      </c>
      <c r="G348">
        <f>RTD("tos.rtd", , "ASK", A348)</f>
        <v>248.5</v>
      </c>
      <c r="H348">
        <f>RTD("tos.rtd", , "BID_SIZE", A348)</f>
        <v>4</v>
      </c>
      <c r="I348">
        <f>RTD("tos.rtd", , "ASK_SIZE", A348)</f>
        <v>1</v>
      </c>
      <c r="J348">
        <f>RTD("tos.rtd", , "VOLUME", A348)</f>
        <v>753086</v>
      </c>
      <c r="K348">
        <f>RTD("tos.rtd", , "OPEN", A348)</f>
        <v>219.83</v>
      </c>
      <c r="L348">
        <f>RTD("tos.rtd", , "HIGH",A348)</f>
        <v>221.31</v>
      </c>
      <c r="M348">
        <f>RTD("tos.rtd", , "LOW", A348)</f>
        <v>216.1</v>
      </c>
      <c r="N348">
        <f>RTD("tos.rtd", , "52HIGH", A348)</f>
        <v>286.57</v>
      </c>
      <c r="O348">
        <f>RTD("tos.rtd", , "52LOW", A348)</f>
        <v>169.43</v>
      </c>
      <c r="P348">
        <f>RTD("tos.rtd", , "Mark", A348)</f>
        <v>220.49</v>
      </c>
    </row>
    <row r="349" spans="1:16" x14ac:dyDescent="0.25">
      <c r="A349" t="s">
        <v>361</v>
      </c>
      <c r="B349">
        <f>RTD("tos.rtd", , "Last", A349)</f>
        <v>68.400000000000006</v>
      </c>
      <c r="C349" t="str">
        <f>RTD("tos.rtd", , "STRENGTH_METER", A349)</f>
        <v>Range Bound</v>
      </c>
      <c r="D349" t="str">
        <f>RTD("tos.rtd", , "QUOTE_TREND", A349)</f>
        <v>instrument=OXY</v>
      </c>
      <c r="E349">
        <f>RTD("tos.rtd", , "NET_CHANGE", A349)</f>
        <v>1.23</v>
      </c>
      <c r="F349">
        <f>RTD("tos.rtd", , "BID", A349)</f>
        <v>68.42</v>
      </c>
      <c r="G349">
        <f>RTD("tos.rtd", , "ASK", A349)</f>
        <v>68.430000000000007</v>
      </c>
      <c r="H349">
        <f>RTD("tos.rtd", , "BID_SIZE", A349)</f>
        <v>2</v>
      </c>
      <c r="I349">
        <f>RTD("tos.rtd", , "ASK_SIZE", A349)</f>
        <v>1</v>
      </c>
      <c r="J349">
        <f>RTD("tos.rtd", , "VOLUME", A349)</f>
        <v>5504041</v>
      </c>
      <c r="K349">
        <f>RTD("tos.rtd", , "OPEN", A349)</f>
        <v>67.91</v>
      </c>
      <c r="L349">
        <f>RTD("tos.rtd", , "HIGH",A349)</f>
        <v>68.790000000000006</v>
      </c>
      <c r="M349">
        <f>RTD("tos.rtd", , "LOW", A349)</f>
        <v>67.849999999999994</v>
      </c>
      <c r="N349">
        <f>RTD("tos.rtd", , "52HIGH", A349)</f>
        <v>73.510000000000005</v>
      </c>
      <c r="O349">
        <f>RTD("tos.rtd", , "52LOW", A349)</f>
        <v>57.2</v>
      </c>
      <c r="P349">
        <f>RTD("tos.rtd", , "Mark", A349)</f>
        <v>68.42</v>
      </c>
    </row>
    <row r="350" spans="1:16" x14ac:dyDescent="0.25">
      <c r="A350" t="s">
        <v>362</v>
      </c>
      <c r="B350">
        <f>RTD("tos.rtd", , "Last", A350)</f>
        <v>64.92</v>
      </c>
      <c r="C350" t="str">
        <f>RTD("tos.rtd", , "STRENGTH_METER", A350)</f>
        <v>Range Bound</v>
      </c>
      <c r="D350" t="str">
        <f>RTD("tos.rtd", , "QUOTE_TREND", A350)</f>
        <v>instrument=PAYX</v>
      </c>
      <c r="E350">
        <f>RTD("tos.rtd", , "NET_CHANGE", A350)</f>
        <v>-0.72</v>
      </c>
      <c r="F350">
        <f>RTD("tos.rtd", , "BID", A350)</f>
        <v>64.42</v>
      </c>
      <c r="G350">
        <f>RTD("tos.rtd", , "ASK", A350)</f>
        <v>65.209999999999994</v>
      </c>
      <c r="H350">
        <f>RTD("tos.rtd", , "BID_SIZE", A350)</f>
        <v>1</v>
      </c>
      <c r="I350">
        <f>RTD("tos.rtd", , "ASK_SIZE", A350)</f>
        <v>2</v>
      </c>
      <c r="J350">
        <f>RTD("tos.rtd", , "VOLUME", A350)</f>
        <v>1738299</v>
      </c>
      <c r="K350">
        <f>RTD("tos.rtd", , "OPEN", A350)</f>
        <v>65.430000000000007</v>
      </c>
      <c r="L350">
        <f>RTD("tos.rtd", , "HIGH",A350)</f>
        <v>65.489999999999995</v>
      </c>
      <c r="M350">
        <f>RTD("tos.rtd", , "LOW", A350)</f>
        <v>64.650000000000006</v>
      </c>
      <c r="N350">
        <f>RTD("tos.rtd", , "52HIGH", A350)</f>
        <v>66.31</v>
      </c>
      <c r="O350">
        <f>RTD("tos.rtd", , "52LOW", A350)</f>
        <v>54.2</v>
      </c>
      <c r="P350">
        <f>RTD("tos.rtd", , "Mark", A350)</f>
        <v>64.92</v>
      </c>
    </row>
    <row r="351" spans="1:16" x14ac:dyDescent="0.25">
      <c r="A351" t="s">
        <v>363</v>
      </c>
      <c r="B351">
        <f>RTD("tos.rtd", , "Last", A351)</f>
        <v>18.170000000000002</v>
      </c>
      <c r="C351" t="str">
        <f>RTD("tos.rtd", , "STRENGTH_METER", A351)</f>
        <v>Range Bound</v>
      </c>
      <c r="D351" t="str">
        <f>RTD("tos.rtd", , "QUOTE_TREND", A351)</f>
        <v>instrument=PBCT</v>
      </c>
      <c r="E351">
        <f>RTD("tos.rtd", , "NET_CHANGE", A351)</f>
        <v>0.06</v>
      </c>
      <c r="F351">
        <f>RTD("tos.rtd", , "BID", A351)</f>
        <v>17.73</v>
      </c>
      <c r="G351">
        <f>RTD("tos.rtd", , "ASK", A351)</f>
        <v>18.32</v>
      </c>
      <c r="H351">
        <f>RTD("tos.rtd", , "BID_SIZE", A351)</f>
        <v>11</v>
      </c>
      <c r="I351">
        <f>RTD("tos.rtd", , "ASK_SIZE", A351)</f>
        <v>11</v>
      </c>
      <c r="J351">
        <f>RTD("tos.rtd", , "VOLUME", A351)</f>
        <v>1579532</v>
      </c>
      <c r="K351">
        <f>RTD("tos.rtd", , "OPEN", A351)</f>
        <v>18.03</v>
      </c>
      <c r="L351">
        <f>RTD("tos.rtd", , "HIGH",A351)</f>
        <v>18.239999999999998</v>
      </c>
      <c r="M351">
        <f>RTD("tos.rtd", , "LOW", A351)</f>
        <v>17.98</v>
      </c>
      <c r="N351">
        <f>RTD("tos.rtd", , "52HIGH", A351)</f>
        <v>20.13</v>
      </c>
      <c r="O351">
        <f>RTD("tos.rtd", , "52LOW", A351)</f>
        <v>15.965</v>
      </c>
      <c r="P351">
        <f>RTD("tos.rtd", , "Mark", A351)</f>
        <v>18.170000000000002</v>
      </c>
    </row>
    <row r="352" spans="1:16" x14ac:dyDescent="0.25">
      <c r="A352" t="s">
        <v>364</v>
      </c>
      <c r="B352">
        <f>RTD("tos.rtd", , "Last", A352)</f>
        <v>9.93</v>
      </c>
      <c r="C352" t="str">
        <f>RTD("tos.rtd", , "STRENGTH_METER", A352)</f>
        <v>Downtrend</v>
      </c>
      <c r="D352" t="str">
        <f>RTD("tos.rtd", , "QUOTE_TREND", A352)</f>
        <v>instrument=PBI</v>
      </c>
      <c r="E352">
        <f>RTD("tos.rtd", , "NET_CHANGE", A352)</f>
        <v>-0.04</v>
      </c>
      <c r="F352">
        <f>RTD("tos.rtd", , "BID", A352)</f>
        <v>9.93</v>
      </c>
      <c r="G352">
        <f>RTD("tos.rtd", , "ASK", A352)</f>
        <v>9.9499999999999993</v>
      </c>
      <c r="H352">
        <f>RTD("tos.rtd", , "BID_SIZE", A352)</f>
        <v>1</v>
      </c>
      <c r="I352">
        <f>RTD("tos.rtd", , "ASK_SIZE", A352)</f>
        <v>16</v>
      </c>
      <c r="J352">
        <f>RTD("tos.rtd", , "VOLUME", A352)</f>
        <v>2445905</v>
      </c>
      <c r="K352">
        <f>RTD("tos.rtd", , "OPEN", A352)</f>
        <v>9.94</v>
      </c>
      <c r="L352">
        <f>RTD("tos.rtd", , "HIGH",A352)</f>
        <v>10.01</v>
      </c>
      <c r="M352">
        <f>RTD("tos.rtd", , "LOW", A352)</f>
        <v>9.84</v>
      </c>
      <c r="N352">
        <f>RTD("tos.rtd", , "52HIGH", A352)</f>
        <v>16.600000000000001</v>
      </c>
      <c r="O352">
        <f>RTD("tos.rtd", , "52LOW", A352)</f>
        <v>9.5</v>
      </c>
      <c r="P352">
        <f>RTD("tos.rtd", , "Mark", A352)</f>
        <v>9.93</v>
      </c>
    </row>
    <row r="353" spans="1:16" x14ac:dyDescent="0.25">
      <c r="A353" t="s">
        <v>365</v>
      </c>
      <c r="B353">
        <f>RTD("tos.rtd", , "Last", A353)</f>
        <v>66.69</v>
      </c>
      <c r="C353" t="str">
        <f>RTD("tos.rtd", , "STRENGTH_METER", A353)</f>
        <v>Range Bound</v>
      </c>
      <c r="D353" t="str">
        <f>RTD("tos.rtd", , "QUOTE_TREND", A353)</f>
        <v>instrument=PCAR</v>
      </c>
      <c r="E353">
        <f>RTD("tos.rtd", , "NET_CHANGE", A353)</f>
        <v>-3.01</v>
      </c>
      <c r="F353">
        <f>RTD("tos.rtd", , "BID", A353)</f>
        <v>66.510000000000005</v>
      </c>
      <c r="G353">
        <f>RTD("tos.rtd", , "ASK", A353)</f>
        <v>67.16</v>
      </c>
      <c r="H353">
        <f>RTD("tos.rtd", , "BID_SIZE", A353)</f>
        <v>2</v>
      </c>
      <c r="I353">
        <f>RTD("tos.rtd", , "ASK_SIZE", A353)</f>
        <v>3</v>
      </c>
      <c r="J353">
        <f>RTD("tos.rtd", , "VOLUME", A353)</f>
        <v>5372795</v>
      </c>
      <c r="K353">
        <f>RTD("tos.rtd", , "OPEN", A353)</f>
        <v>69</v>
      </c>
      <c r="L353">
        <f>RTD("tos.rtd", , "HIGH",A353)</f>
        <v>69</v>
      </c>
      <c r="M353">
        <f>RTD("tos.rtd", , "LOW", A353)</f>
        <v>66.330100000000002</v>
      </c>
      <c r="N353">
        <f>RTD("tos.rtd", , "52HIGH", A353)</f>
        <v>75.680000000000007</v>
      </c>
      <c r="O353">
        <f>RTD("tos.rtd", , "52LOW", A353)</f>
        <v>58.78</v>
      </c>
      <c r="P353">
        <f>RTD("tos.rtd", , "Mark", A353)</f>
        <v>66.69</v>
      </c>
    </row>
    <row r="354" spans="1:16" x14ac:dyDescent="0.25">
      <c r="A354" t="s">
        <v>366</v>
      </c>
      <c r="B354">
        <f>RTD("tos.rtd", , "Last", A354)</f>
        <v>54</v>
      </c>
      <c r="C354" t="str">
        <f>RTD("tos.rtd", , "STRENGTH_METER", A354)</f>
        <v>Range Bound</v>
      </c>
      <c r="D354" t="str">
        <f>RTD("tos.rtd", , "QUOTE_TREND", A354)</f>
        <v>instrument=PCG</v>
      </c>
      <c r="E354">
        <f>RTD("tos.rtd", , "NET_CHANGE", A354)</f>
        <v>-1.1499999999999999</v>
      </c>
      <c r="F354">
        <f>RTD("tos.rtd", , "BID", A354)</f>
        <v>54.01</v>
      </c>
      <c r="G354">
        <f>RTD("tos.rtd", , "ASK", A354)</f>
        <v>54.69</v>
      </c>
      <c r="H354">
        <f>RTD("tos.rtd", , "BID_SIZE", A354)</f>
        <v>2</v>
      </c>
      <c r="I354">
        <f>RTD("tos.rtd", , "ASK_SIZE", A354)</f>
        <v>4</v>
      </c>
      <c r="J354">
        <f>RTD("tos.rtd", , "VOLUME", A354)</f>
        <v>7712283</v>
      </c>
      <c r="K354">
        <f>RTD("tos.rtd", , "OPEN", A354)</f>
        <v>55.01</v>
      </c>
      <c r="L354">
        <f>RTD("tos.rtd", , "HIGH",A354)</f>
        <v>55.25</v>
      </c>
      <c r="M354">
        <f>RTD("tos.rtd", , "LOW", A354)</f>
        <v>54</v>
      </c>
      <c r="N354">
        <f>RTD("tos.rtd", , "52HIGH", A354)</f>
        <v>71.569999999999993</v>
      </c>
      <c r="O354">
        <f>RTD("tos.rtd", , "52LOW", A354)</f>
        <v>49.83</v>
      </c>
      <c r="P354">
        <f>RTD("tos.rtd", , "Mark", A354)</f>
        <v>54.01</v>
      </c>
    </row>
    <row r="355" spans="1:16" x14ac:dyDescent="0.25">
      <c r="A355" t="s">
        <v>367</v>
      </c>
      <c r="B355">
        <f>RTD("tos.rtd", , "Last", A355)</f>
        <v>0</v>
      </c>
      <c r="C355" t="str">
        <f>RTD("tos.rtd", , "STRENGTH_METER", A355)</f>
        <v>N/A</v>
      </c>
      <c r="D355" t="str">
        <f>RTD("tos.rtd", , "QUOTE_TREND", A355)</f>
        <v>instrument=PCL</v>
      </c>
      <c r="E355">
        <f>RTD("tos.rtd", , "NET_CHANGE", A355)</f>
        <v>0</v>
      </c>
      <c r="F355">
        <f>RTD("tos.rtd", , "BID", A355)</f>
        <v>35.1</v>
      </c>
      <c r="G355">
        <f>RTD("tos.rtd", , "ASK", A355)</f>
        <v>39.299999999999997</v>
      </c>
      <c r="H355">
        <f>RTD("tos.rtd", , "BID_SIZE", A355)</f>
        <v>0</v>
      </c>
      <c r="I355">
        <f>RTD("tos.rtd", , "ASK_SIZE", A355)</f>
        <v>0</v>
      </c>
      <c r="J355">
        <f>RTD("tos.rtd", , "VOLUME", A355)</f>
        <v>0</v>
      </c>
      <c r="K355">
        <f>RTD("tos.rtd", , "OPEN", A355)</f>
        <v>0</v>
      </c>
      <c r="L355">
        <f>RTD("tos.rtd", , "HIGH",A355)</f>
        <v>0</v>
      </c>
      <c r="M355">
        <f>RTD("tos.rtd", , "LOW", A355)</f>
        <v>0</v>
      </c>
      <c r="N355">
        <f>RTD("tos.rtd", , "52HIGH", A355)</f>
        <v>0</v>
      </c>
      <c r="O355">
        <f>RTD("tos.rtd", , "52LOW", A355)</f>
        <v>0</v>
      </c>
      <c r="P355">
        <f>RTD("tos.rtd", , "Mark", A355)</f>
        <v>35.1</v>
      </c>
    </row>
    <row r="356" spans="1:16" x14ac:dyDescent="0.25">
      <c r="A356" t="s">
        <v>368</v>
      </c>
      <c r="B356">
        <f>RTD("tos.rtd", , "Last", A356)</f>
        <v>1747.22</v>
      </c>
      <c r="C356" t="str">
        <f>RTD("tos.rtd", , "STRENGTH_METER", A356)</f>
        <v>Range Bound</v>
      </c>
      <c r="D356" t="str">
        <f>RTD("tos.rtd", , "QUOTE_TREND", A356)</f>
        <v>instrument=PCLN</v>
      </c>
      <c r="E356">
        <f>RTD("tos.rtd", , "NET_CHANGE", A356)</f>
        <v>15.57</v>
      </c>
      <c r="F356">
        <f>RTD("tos.rtd", , "BID", A356)</f>
        <v>1732</v>
      </c>
      <c r="G356">
        <f>RTD("tos.rtd", , "ASK", A356)</f>
        <v>1750</v>
      </c>
      <c r="H356">
        <f>RTD("tos.rtd", , "BID_SIZE", A356)</f>
        <v>1</v>
      </c>
      <c r="I356">
        <f>RTD("tos.rtd", , "ASK_SIZE", A356)</f>
        <v>2</v>
      </c>
      <c r="J356">
        <f>RTD("tos.rtd", , "VOLUME", A356)</f>
        <v>501751</v>
      </c>
      <c r="K356">
        <f>RTD("tos.rtd", , "OPEN", A356)</f>
        <v>1731</v>
      </c>
      <c r="L356">
        <f>RTD("tos.rtd", , "HIGH",A356)</f>
        <v>1749.6</v>
      </c>
      <c r="M356">
        <f>RTD("tos.rtd", , "LOW", A356)</f>
        <v>1727.34</v>
      </c>
      <c r="N356">
        <f>RTD("tos.rtd", , "52HIGH", A356)</f>
        <v>2067.9899999999998</v>
      </c>
      <c r="O356">
        <f>RTD("tos.rtd", , "52LOW", A356)</f>
        <v>1459.49</v>
      </c>
      <c r="P356">
        <f>RTD("tos.rtd", , "Mark", A356)</f>
        <v>1747.22</v>
      </c>
    </row>
    <row r="357" spans="1:16" x14ac:dyDescent="0.25">
      <c r="A357" t="s">
        <v>369</v>
      </c>
      <c r="B357">
        <f>RTD("tos.rtd", , "Last", A357)</f>
        <v>0</v>
      </c>
      <c r="C357" t="str">
        <f>RTD("tos.rtd", , "STRENGTH_METER", A357)</f>
        <v>N/A</v>
      </c>
      <c r="D357" t="str">
        <f>RTD("tos.rtd", , "QUOTE_TREND", A357)</f>
        <v>instrument=PCP</v>
      </c>
      <c r="E357">
        <f>RTD("tos.rtd", , "NET_CHANGE", A357)</f>
        <v>0</v>
      </c>
      <c r="F357">
        <f>RTD("tos.rtd", , "BID", A357)</f>
        <v>234.97</v>
      </c>
      <c r="G357">
        <f>RTD("tos.rtd", , "ASK", A357)</f>
        <v>235.08</v>
      </c>
      <c r="H357">
        <f>RTD("tos.rtd", , "BID_SIZE", A357)</f>
        <v>0</v>
      </c>
      <c r="I357">
        <f>RTD("tos.rtd", , "ASK_SIZE", A357)</f>
        <v>0</v>
      </c>
      <c r="J357">
        <f>RTD("tos.rtd", , "VOLUME", A357)</f>
        <v>0</v>
      </c>
      <c r="K357">
        <f>RTD("tos.rtd", , "OPEN", A357)</f>
        <v>0</v>
      </c>
      <c r="L357">
        <f>RTD("tos.rtd", , "HIGH",A357)</f>
        <v>0</v>
      </c>
      <c r="M357">
        <f>RTD("tos.rtd", , "LOW", A357)</f>
        <v>0</v>
      </c>
      <c r="N357">
        <f>RTD("tos.rtd", , "52HIGH", A357)</f>
        <v>0</v>
      </c>
      <c r="O357">
        <f>RTD("tos.rtd", , "52LOW", A357)</f>
        <v>0</v>
      </c>
      <c r="P357">
        <f>RTD("tos.rtd", , "Mark", A357)</f>
        <v>234.97</v>
      </c>
    </row>
    <row r="358" spans="1:16" x14ac:dyDescent="0.25">
      <c r="A358" t="s">
        <v>370</v>
      </c>
      <c r="B358">
        <f>RTD("tos.rtd", , "Last", A358)</f>
        <v>36.04</v>
      </c>
      <c r="C358" t="str">
        <f>RTD("tos.rtd", , "STRENGTH_METER", A358)</f>
        <v>Range Bound</v>
      </c>
      <c r="D358" t="str">
        <f>RTD("tos.rtd", , "QUOTE_TREND", A358)</f>
        <v>instrument=PDCO</v>
      </c>
      <c r="E358">
        <f>RTD("tos.rtd", , "NET_CHANGE", A358)</f>
        <v>-0.03</v>
      </c>
      <c r="F358">
        <f>RTD("tos.rtd", , "BID", A358)</f>
        <v>32.799999999999997</v>
      </c>
      <c r="G358">
        <f>RTD("tos.rtd", , "ASK", A358)</f>
        <v>36.64</v>
      </c>
      <c r="H358">
        <f>RTD("tos.rtd", , "BID_SIZE", A358)</f>
        <v>1</v>
      </c>
      <c r="I358">
        <f>RTD("tos.rtd", , "ASK_SIZE", A358)</f>
        <v>1</v>
      </c>
      <c r="J358">
        <f>RTD("tos.rtd", , "VOLUME", A358)</f>
        <v>2169935</v>
      </c>
      <c r="K358">
        <f>RTD("tos.rtd", , "OPEN", A358)</f>
        <v>35.86</v>
      </c>
      <c r="L358">
        <f>RTD("tos.rtd", , "HIGH",A358)</f>
        <v>36.32</v>
      </c>
      <c r="M358">
        <f>RTD("tos.rtd", , "LOW", A358)</f>
        <v>35.619999999999997</v>
      </c>
      <c r="N358">
        <f>RTD("tos.rtd", , "52HIGH", A358)</f>
        <v>49.264000000000003</v>
      </c>
      <c r="O358">
        <f>RTD("tos.rtd", , "52LOW", A358)</f>
        <v>32.17</v>
      </c>
      <c r="P358">
        <f>RTD("tos.rtd", , "Mark", A358)</f>
        <v>36.04</v>
      </c>
    </row>
    <row r="359" spans="1:16" x14ac:dyDescent="0.25">
      <c r="A359" t="s">
        <v>371</v>
      </c>
      <c r="B359">
        <f>RTD("tos.rtd", , "Last", A359)</f>
        <v>51.5</v>
      </c>
      <c r="C359" t="str">
        <f>RTD("tos.rtd", , "STRENGTH_METER", A359)</f>
        <v>Range Bound</v>
      </c>
      <c r="D359" t="str">
        <f>RTD("tos.rtd", , "QUOTE_TREND", A359)</f>
        <v>instrument=PEG</v>
      </c>
      <c r="E359">
        <f>RTD("tos.rtd", , "NET_CHANGE", A359)</f>
        <v>0.12</v>
      </c>
      <c r="F359">
        <f>RTD("tos.rtd", , "BID", A359)</f>
        <v>51.38</v>
      </c>
      <c r="G359">
        <f>RTD("tos.rtd", , "ASK", A359)</f>
        <v>51.52</v>
      </c>
      <c r="H359">
        <f>RTD("tos.rtd", , "BID_SIZE", A359)</f>
        <v>1</v>
      </c>
      <c r="I359">
        <f>RTD("tos.rtd", , "ASK_SIZE", A359)</f>
        <v>1</v>
      </c>
      <c r="J359">
        <f>RTD("tos.rtd", , "VOLUME", A359)</f>
        <v>5620755</v>
      </c>
      <c r="K359">
        <f>RTD("tos.rtd", , "OPEN", A359)</f>
        <v>51.08</v>
      </c>
      <c r="L359">
        <f>RTD("tos.rtd", , "HIGH",A359)</f>
        <v>51.54</v>
      </c>
      <c r="M359">
        <f>RTD("tos.rtd", , "LOW", A359)</f>
        <v>51.02</v>
      </c>
      <c r="N359">
        <f>RTD("tos.rtd", , "52HIGH", A359)</f>
        <v>52.12</v>
      </c>
      <c r="O359">
        <f>RTD("tos.rtd", , "52LOW", A359)</f>
        <v>40.11</v>
      </c>
      <c r="P359">
        <f>RTD("tos.rtd", , "Mark", A359)</f>
        <v>51.5</v>
      </c>
    </row>
    <row r="360" spans="1:16" x14ac:dyDescent="0.25">
      <c r="A360" t="s">
        <v>372</v>
      </c>
      <c r="B360">
        <f>RTD("tos.rtd", , "Last", A360)</f>
        <v>114.68</v>
      </c>
      <c r="C360" t="str">
        <f>RTD("tos.rtd", , "STRENGTH_METER", A360)</f>
        <v>Range Bound</v>
      </c>
      <c r="D360" t="str">
        <f>RTD("tos.rtd", , "QUOTE_TREND", A360)</f>
        <v>instrument=PEP</v>
      </c>
      <c r="E360">
        <f>RTD("tos.rtd", , "NET_CHANGE", A360)</f>
        <v>-0.55000000000000004</v>
      </c>
      <c r="F360">
        <f>RTD("tos.rtd", , "BID", A360)</f>
        <v>114.28</v>
      </c>
      <c r="G360">
        <f>RTD("tos.rtd", , "ASK", A360)</f>
        <v>114.75</v>
      </c>
      <c r="H360">
        <f>RTD("tos.rtd", , "BID_SIZE", A360)</f>
        <v>1</v>
      </c>
      <c r="I360">
        <f>RTD("tos.rtd", , "ASK_SIZE", A360)</f>
        <v>1</v>
      </c>
      <c r="J360">
        <f>RTD("tos.rtd", , "VOLUME", A360)</f>
        <v>2635146</v>
      </c>
      <c r="K360">
        <f>RTD("tos.rtd", , "OPEN", A360)</f>
        <v>114.73</v>
      </c>
      <c r="L360">
        <f>RTD("tos.rtd", , "HIGH",A360)</f>
        <v>115.14</v>
      </c>
      <c r="M360">
        <f>RTD("tos.rtd", , "LOW", A360)</f>
        <v>114.53</v>
      </c>
      <c r="N360">
        <f>RTD("tos.rtd", , "52HIGH", A360)</f>
        <v>119.39</v>
      </c>
      <c r="O360">
        <f>RTD("tos.rtd", , "52LOW", A360)</f>
        <v>98.5</v>
      </c>
      <c r="P360">
        <f>RTD("tos.rtd", , "Mark", A360)</f>
        <v>114.68</v>
      </c>
    </row>
    <row r="361" spans="1:16" x14ac:dyDescent="0.25">
      <c r="A361" t="s">
        <v>373</v>
      </c>
      <c r="B361" t="str">
        <f>RTD("tos.rtd", , "Last", A361)</f>
        <v>N/A</v>
      </c>
      <c r="C361" t="str">
        <f>RTD("tos.rtd", , "STRENGTH_METER", A361)</f>
        <v>N/A</v>
      </c>
      <c r="D361" t="str">
        <f>RTD("tos.rtd", , "QUOTE_TREND", A361)</f>
        <v>instrument=PETM</v>
      </c>
      <c r="E361" t="str">
        <f>RTD("tos.rtd", , "NET_CHANGE", A361)</f>
        <v>N/A</v>
      </c>
      <c r="F361" t="str">
        <f>RTD("tos.rtd", , "BID", A361)</f>
        <v>N/A</v>
      </c>
      <c r="G361" t="str">
        <f>RTD("tos.rtd", , "ASK", A361)</f>
        <v>N/A</v>
      </c>
      <c r="H361">
        <f>RTD("tos.rtd", , "BID_SIZE", A361)</f>
        <v>0</v>
      </c>
      <c r="I361">
        <f>RTD("tos.rtd", , "ASK_SIZE", A361)</f>
        <v>0</v>
      </c>
      <c r="J361" t="str">
        <f>RTD("tos.rtd", , "VOLUME", A361)</f>
        <v>N/A</v>
      </c>
      <c r="K361" t="str">
        <f>RTD("tos.rtd", , "OPEN", A361)</f>
        <v>N/A</v>
      </c>
      <c r="L361" t="str">
        <f>RTD("tos.rtd", , "HIGH",A361)</f>
        <v>N/A</v>
      </c>
      <c r="M361" t="str">
        <f>RTD("tos.rtd", , "LOW", A361)</f>
        <v>N/A</v>
      </c>
      <c r="N361" t="str">
        <f>RTD("tos.rtd", , "52HIGH", A361)</f>
        <v>N/A</v>
      </c>
      <c r="O361" t="str">
        <f>RTD("tos.rtd", , "52LOW", A361)</f>
        <v>N/A</v>
      </c>
      <c r="P361" t="str">
        <f>RTD("tos.rtd", , "Mark", A361)</f>
        <v>N/A</v>
      </c>
    </row>
    <row r="362" spans="1:16" x14ac:dyDescent="0.25">
      <c r="A362" t="s">
        <v>374</v>
      </c>
      <c r="B362">
        <f>RTD("tos.rtd", , "Last", A362)</f>
        <v>35.369999999999997</v>
      </c>
      <c r="C362" t="str">
        <f>RTD("tos.rtd", , "STRENGTH_METER", A362)</f>
        <v>Range Bound</v>
      </c>
      <c r="D362" t="str">
        <f>RTD("tos.rtd", , "QUOTE_TREND", A362)</f>
        <v>instrument=PFE</v>
      </c>
      <c r="E362">
        <f>RTD("tos.rtd", , "NET_CHANGE", A362)</f>
        <v>-0.19</v>
      </c>
      <c r="F362">
        <f>RTD("tos.rtd", , "BID", A362)</f>
        <v>35.29</v>
      </c>
      <c r="G362">
        <f>RTD("tos.rtd", , "ASK", A362)</f>
        <v>35.4</v>
      </c>
      <c r="H362">
        <f>RTD("tos.rtd", , "BID_SIZE", A362)</f>
        <v>1</v>
      </c>
      <c r="I362">
        <f>RTD("tos.rtd", , "ASK_SIZE", A362)</f>
        <v>8</v>
      </c>
      <c r="J362">
        <f>RTD("tos.rtd", , "VOLUME", A362)</f>
        <v>14817055</v>
      </c>
      <c r="K362">
        <f>RTD("tos.rtd", , "OPEN", A362)</f>
        <v>35.369999999999997</v>
      </c>
      <c r="L362">
        <f>RTD("tos.rtd", , "HIGH",A362)</f>
        <v>35.49</v>
      </c>
      <c r="M362">
        <f>RTD("tos.rtd", , "LOW", A362)</f>
        <v>35.17</v>
      </c>
      <c r="N362">
        <f>RTD("tos.rtd", , "52HIGH", A362)</f>
        <v>36.78</v>
      </c>
      <c r="O362">
        <f>RTD("tos.rtd", , "52LOW", A362)</f>
        <v>30.51</v>
      </c>
      <c r="P362">
        <f>RTD("tos.rtd", , "Mark", A362)</f>
        <v>35.369999999999997</v>
      </c>
    </row>
    <row r="363" spans="1:16" x14ac:dyDescent="0.25">
      <c r="A363" t="s">
        <v>375</v>
      </c>
      <c r="B363">
        <f>RTD("tos.rtd", , "Last", A363)</f>
        <v>68.64</v>
      </c>
      <c r="C363" t="str">
        <f>RTD("tos.rtd", , "STRENGTH_METER", A363)</f>
        <v>Range Bound</v>
      </c>
      <c r="D363" t="str">
        <f>RTD("tos.rtd", , "QUOTE_TREND", A363)</f>
        <v>instrument=PFG</v>
      </c>
      <c r="E363">
        <f>RTD("tos.rtd", , "NET_CHANGE", A363)</f>
        <v>0.25</v>
      </c>
      <c r="F363">
        <f>RTD("tos.rtd", , "BID", A363)</f>
        <v>7.78</v>
      </c>
      <c r="G363">
        <f>RTD("tos.rtd", , "ASK", A363)</f>
        <v>74.989999999999995</v>
      </c>
      <c r="H363">
        <f>RTD("tos.rtd", , "BID_SIZE", A363)</f>
        <v>1</v>
      </c>
      <c r="I363">
        <f>RTD("tos.rtd", , "ASK_SIZE", A363)</f>
        <v>1</v>
      </c>
      <c r="J363">
        <f>RTD("tos.rtd", , "VOLUME", A363)</f>
        <v>847053</v>
      </c>
      <c r="K363">
        <f>RTD("tos.rtd", , "OPEN", A363)</f>
        <v>68.040000000000006</v>
      </c>
      <c r="L363">
        <f>RTD("tos.rtd", , "HIGH",A363)</f>
        <v>68.94</v>
      </c>
      <c r="M363">
        <f>RTD("tos.rtd", , "LOW", A363)</f>
        <v>67.92</v>
      </c>
      <c r="N363">
        <f>RTD("tos.rtd", , "52HIGH", A363)</f>
        <v>69.952399999999997</v>
      </c>
      <c r="O363">
        <f>RTD("tos.rtd", , "52LOW", A363)</f>
        <v>56.12</v>
      </c>
      <c r="P363">
        <f>RTD("tos.rtd", , "Mark", A363)</f>
        <v>68.64</v>
      </c>
    </row>
    <row r="364" spans="1:16" x14ac:dyDescent="0.25">
      <c r="A364" t="s">
        <v>376</v>
      </c>
      <c r="B364">
        <f>RTD("tos.rtd", , "Last", A364)</f>
        <v>88.43</v>
      </c>
      <c r="C364" t="str">
        <f>RTD("tos.rtd", , "STRENGTH_METER", A364)</f>
        <v>Range Bound</v>
      </c>
      <c r="D364" t="str">
        <f>RTD("tos.rtd", , "QUOTE_TREND", A364)</f>
        <v>instrument=PG</v>
      </c>
      <c r="E364">
        <f>RTD("tos.rtd", , "NET_CHANGE", A364)</f>
        <v>-0.82</v>
      </c>
      <c r="F364">
        <f>RTD("tos.rtd", , "BID", A364)</f>
        <v>88.43</v>
      </c>
      <c r="G364">
        <f>RTD("tos.rtd", , "ASK", A364)</f>
        <v>88.53</v>
      </c>
      <c r="H364">
        <f>RTD("tos.rtd", , "BID_SIZE", A364)</f>
        <v>1</v>
      </c>
      <c r="I364">
        <f>RTD("tos.rtd", , "ASK_SIZE", A364)</f>
        <v>1</v>
      </c>
      <c r="J364">
        <f>RTD("tos.rtd", , "VOLUME", A364)</f>
        <v>5920560</v>
      </c>
      <c r="K364">
        <f>RTD("tos.rtd", , "OPEN", A364)</f>
        <v>88.95</v>
      </c>
      <c r="L364">
        <f>RTD("tos.rtd", , "HIGH",A364)</f>
        <v>89.09</v>
      </c>
      <c r="M364">
        <f>RTD("tos.rtd", , "LOW", A364)</f>
        <v>88.08</v>
      </c>
      <c r="N364">
        <f>RTD("tos.rtd", , "52HIGH", A364)</f>
        <v>94.67</v>
      </c>
      <c r="O364">
        <f>RTD("tos.rtd", , "52LOW", A364)</f>
        <v>81.180000000000007</v>
      </c>
      <c r="P364">
        <f>RTD("tos.rtd", , "Mark", A364)</f>
        <v>88.43</v>
      </c>
    </row>
    <row r="365" spans="1:16" x14ac:dyDescent="0.25">
      <c r="A365" t="s">
        <v>377</v>
      </c>
      <c r="B365">
        <f>RTD("tos.rtd", , "Last", A365)</f>
        <v>51.55</v>
      </c>
      <c r="C365" t="str">
        <f>RTD("tos.rtd", , "STRENGTH_METER", A365)</f>
        <v>Range Bound</v>
      </c>
      <c r="D365" t="str">
        <f>RTD("tos.rtd", , "QUOTE_TREND", A365)</f>
        <v>instrument=PGR</v>
      </c>
      <c r="E365">
        <f>RTD("tos.rtd", , "NET_CHANGE", A365)</f>
        <v>-0.02</v>
      </c>
      <c r="F365">
        <f>RTD("tos.rtd", , "BID", A365)</f>
        <v>51.48</v>
      </c>
      <c r="G365">
        <f>RTD("tos.rtd", , "ASK", A365)</f>
        <v>51.61</v>
      </c>
      <c r="H365">
        <f>RTD("tos.rtd", , "BID_SIZE", A365)</f>
        <v>1</v>
      </c>
      <c r="I365">
        <f>RTD("tos.rtd", , "ASK_SIZE", A365)</f>
        <v>1</v>
      </c>
      <c r="J365">
        <f>RTD("tos.rtd", , "VOLUME", A365)</f>
        <v>2233630</v>
      </c>
      <c r="K365">
        <f>RTD("tos.rtd", , "OPEN", A365)</f>
        <v>51.39</v>
      </c>
      <c r="L365">
        <f>RTD("tos.rtd", , "HIGH",A365)</f>
        <v>51.68</v>
      </c>
      <c r="M365">
        <f>RTD("tos.rtd", , "LOW", A365)</f>
        <v>51.32</v>
      </c>
      <c r="N365">
        <f>RTD("tos.rtd", , "52HIGH", A365)</f>
        <v>52.08</v>
      </c>
      <c r="O365">
        <f>RTD("tos.rtd", , "52LOW", A365)</f>
        <v>32.409999999999997</v>
      </c>
      <c r="P365">
        <f>RTD("tos.rtd", , "Mark", A365)</f>
        <v>51.55</v>
      </c>
    </row>
    <row r="366" spans="1:16" x14ac:dyDescent="0.25">
      <c r="A366" t="s">
        <v>378</v>
      </c>
      <c r="B366">
        <f>RTD("tos.rtd", , "Last", A366)</f>
        <v>182.34</v>
      </c>
      <c r="C366" t="str">
        <f>RTD("tos.rtd", , "STRENGTH_METER", A366)</f>
        <v>Range Bound</v>
      </c>
      <c r="D366" t="str">
        <f>RTD("tos.rtd", , "QUOTE_TREND", A366)</f>
        <v>instrument=PH</v>
      </c>
      <c r="E366">
        <f>RTD("tos.rtd", , "NET_CHANGE", A366)</f>
        <v>0.04</v>
      </c>
      <c r="F366">
        <f>RTD("tos.rtd", , "BID", A366)</f>
        <v>174.37</v>
      </c>
      <c r="G366">
        <f>RTD("tos.rtd", , "ASK", A366)</f>
        <v>183.44</v>
      </c>
      <c r="H366">
        <f>RTD("tos.rtd", , "BID_SIZE", A366)</f>
        <v>1</v>
      </c>
      <c r="I366">
        <f>RTD("tos.rtd", , "ASK_SIZE", A366)</f>
        <v>1</v>
      </c>
      <c r="J366">
        <f>RTD("tos.rtd", , "VOLUME", A366)</f>
        <v>640228</v>
      </c>
      <c r="K366">
        <f>RTD("tos.rtd", , "OPEN", A366)</f>
        <v>181.27</v>
      </c>
      <c r="L366">
        <f>RTD("tos.rtd", , "HIGH",A366)</f>
        <v>182.52</v>
      </c>
      <c r="M366">
        <f>RTD("tos.rtd", , "LOW", A366)</f>
        <v>180.56</v>
      </c>
      <c r="N366">
        <f>RTD("tos.rtd", , "52HIGH", A366)</f>
        <v>189.83</v>
      </c>
      <c r="O366">
        <f>RTD("tos.rtd", , "52LOW", A366)</f>
        <v>134.03</v>
      </c>
      <c r="P366">
        <f>RTD("tos.rtd", , "Mark", A366)</f>
        <v>182.34</v>
      </c>
    </row>
    <row r="367" spans="1:16" x14ac:dyDescent="0.25">
      <c r="A367" t="s">
        <v>379</v>
      </c>
      <c r="B367">
        <f>RTD("tos.rtd", , "Last", A367)</f>
        <v>32.25</v>
      </c>
      <c r="C367" t="str">
        <f>RTD("tos.rtd", , "STRENGTH_METER", A367)</f>
        <v>Uptrend</v>
      </c>
      <c r="D367" t="str">
        <f>RTD("tos.rtd", , "QUOTE_TREND", A367)</f>
        <v>instrument=PHM</v>
      </c>
      <c r="E367">
        <f>RTD("tos.rtd", , "NET_CHANGE", A367)</f>
        <v>0.35</v>
      </c>
      <c r="F367">
        <f>RTD("tos.rtd", , "BID", A367)</f>
        <v>32.17</v>
      </c>
      <c r="G367">
        <f>RTD("tos.rtd", , "ASK", A367)</f>
        <v>32.28</v>
      </c>
      <c r="H367">
        <f>RTD("tos.rtd", , "BID_SIZE", A367)</f>
        <v>1</v>
      </c>
      <c r="I367">
        <f>RTD("tos.rtd", , "ASK_SIZE", A367)</f>
        <v>1</v>
      </c>
      <c r="J367">
        <f>RTD("tos.rtd", , "VOLUME", A367)</f>
        <v>6164927</v>
      </c>
      <c r="K367">
        <f>RTD("tos.rtd", , "OPEN", A367)</f>
        <v>31.8</v>
      </c>
      <c r="L367">
        <f>RTD("tos.rtd", , "HIGH",A367)</f>
        <v>32.450000000000003</v>
      </c>
      <c r="M367">
        <f>RTD("tos.rtd", , "LOW", A367)</f>
        <v>31.75</v>
      </c>
      <c r="N367">
        <f>RTD("tos.rtd", , "52HIGH", A367)</f>
        <v>32.270000000000003</v>
      </c>
      <c r="O367">
        <f>RTD("tos.rtd", , "52LOW", A367)</f>
        <v>18.18</v>
      </c>
      <c r="P367">
        <f>RTD("tos.rtd", , "Mark", A367)</f>
        <v>32.25</v>
      </c>
    </row>
    <row r="368" spans="1:16" x14ac:dyDescent="0.25">
      <c r="A368" t="s">
        <v>380</v>
      </c>
      <c r="B368">
        <f>RTD("tos.rtd", , "Last", A368)</f>
        <v>72.31</v>
      </c>
      <c r="C368" t="str">
        <f>RTD("tos.rtd", , "STRENGTH_METER", A368)</f>
        <v>Range Bound</v>
      </c>
      <c r="D368" t="str">
        <f>RTD("tos.rtd", , "QUOTE_TREND", A368)</f>
        <v>instrument=PKI</v>
      </c>
      <c r="E368">
        <f>RTD("tos.rtd", , "NET_CHANGE", A368)</f>
        <v>0.01</v>
      </c>
      <c r="F368">
        <f>RTD("tos.rtd", , "BID", A368)</f>
        <v>71.38</v>
      </c>
      <c r="G368">
        <f>RTD("tos.rtd", , "ASK", A368)</f>
        <v>74.25</v>
      </c>
      <c r="H368">
        <f>RTD("tos.rtd", , "BID_SIZE", A368)</f>
        <v>0</v>
      </c>
      <c r="I368">
        <f>RTD("tos.rtd", , "ASK_SIZE", A368)</f>
        <v>3</v>
      </c>
      <c r="J368">
        <f>RTD("tos.rtd", , "VOLUME", A368)</f>
        <v>611665</v>
      </c>
      <c r="K368">
        <f>RTD("tos.rtd", , "OPEN", A368)</f>
        <v>72.05</v>
      </c>
      <c r="L368">
        <f>RTD("tos.rtd", , "HIGH",A368)</f>
        <v>72.459999999999994</v>
      </c>
      <c r="M368">
        <f>RTD("tos.rtd", , "LOW", A368)</f>
        <v>71.680000000000007</v>
      </c>
      <c r="N368">
        <f>RTD("tos.rtd", , "52HIGH", A368)</f>
        <v>73.05</v>
      </c>
      <c r="O368">
        <f>RTD("tos.rtd", , "52LOW", A368)</f>
        <v>49.715000000000003</v>
      </c>
      <c r="P368">
        <f>RTD("tos.rtd", , "Mark", A368)</f>
        <v>72.31</v>
      </c>
    </row>
    <row r="369" spans="1:16" x14ac:dyDescent="0.25">
      <c r="A369" t="s">
        <v>381</v>
      </c>
      <c r="B369">
        <f>RTD("tos.rtd", , "Last", A369)</f>
        <v>66.3</v>
      </c>
      <c r="C369" t="str">
        <f>RTD("tos.rtd", , "STRENGTH_METER", A369)</f>
        <v>Range Bound</v>
      </c>
      <c r="D369" t="str">
        <f>RTD("tos.rtd", , "QUOTE_TREND", A369)</f>
        <v>instrument=PLD</v>
      </c>
      <c r="E369">
        <f>RTD("tos.rtd", , "NET_CHANGE", A369)</f>
        <v>-0.75</v>
      </c>
      <c r="F369">
        <f>RTD("tos.rtd", , "BID", A369)</f>
        <v>63.76</v>
      </c>
      <c r="G369">
        <f>RTD("tos.rtd", , "ASK", A369)</f>
        <v>67.290000000000006</v>
      </c>
      <c r="H369">
        <f>RTD("tos.rtd", , "BID_SIZE", A369)</f>
        <v>3</v>
      </c>
      <c r="I369">
        <f>RTD("tos.rtd", , "ASK_SIZE", A369)</f>
        <v>3</v>
      </c>
      <c r="J369">
        <f>RTD("tos.rtd", , "VOLUME", A369)</f>
        <v>1302837</v>
      </c>
      <c r="K369">
        <f>RTD("tos.rtd", , "OPEN", A369)</f>
        <v>66.52</v>
      </c>
      <c r="L369">
        <f>RTD("tos.rtd", , "HIGH",A369)</f>
        <v>66.84</v>
      </c>
      <c r="M369">
        <f>RTD("tos.rtd", , "LOW", A369)</f>
        <v>66.19</v>
      </c>
      <c r="N369">
        <f>RTD("tos.rtd", , "52HIGH", A369)</f>
        <v>67.25</v>
      </c>
      <c r="O369">
        <f>RTD("tos.rtd", , "52LOW", A369)</f>
        <v>46.33</v>
      </c>
      <c r="P369">
        <f>RTD("tos.rtd", , "Mark", A369)</f>
        <v>66.3</v>
      </c>
    </row>
    <row r="370" spans="1:16" x14ac:dyDescent="0.25">
      <c r="A370" t="s">
        <v>382</v>
      </c>
      <c r="B370">
        <f>RTD("tos.rtd", , "Last", A370)</f>
        <v>0</v>
      </c>
      <c r="C370" t="str">
        <f>RTD("tos.rtd", , "STRENGTH_METER", A370)</f>
        <v>N/A</v>
      </c>
      <c r="D370" t="str">
        <f>RTD("tos.rtd", , "QUOTE_TREND", A370)</f>
        <v>instrument=PLL</v>
      </c>
      <c r="E370">
        <f>RTD("tos.rtd", , "NET_CHANGE", A370)</f>
        <v>0</v>
      </c>
      <c r="F370">
        <f>RTD("tos.rtd", , "BID", A370)</f>
        <v>131.96</v>
      </c>
      <c r="G370">
        <f>RTD("tos.rtd", , "ASK", A370)</f>
        <v>120.63</v>
      </c>
      <c r="H370">
        <f>RTD("tos.rtd", , "BID_SIZE", A370)</f>
        <v>0</v>
      </c>
      <c r="I370">
        <f>RTD("tos.rtd", , "ASK_SIZE", A370)</f>
        <v>0</v>
      </c>
      <c r="J370">
        <f>RTD("tos.rtd", , "VOLUME", A370)</f>
        <v>0</v>
      </c>
      <c r="K370">
        <f>RTD("tos.rtd", , "OPEN", A370)</f>
        <v>0</v>
      </c>
      <c r="L370">
        <f>RTD("tos.rtd", , "HIGH",A370)</f>
        <v>0</v>
      </c>
      <c r="M370">
        <f>RTD("tos.rtd", , "LOW", A370)</f>
        <v>0</v>
      </c>
      <c r="N370">
        <f>RTD("tos.rtd", , "52HIGH", A370)</f>
        <v>0</v>
      </c>
      <c r="O370">
        <f>RTD("tos.rtd", , "52LOW", A370)</f>
        <v>0</v>
      </c>
      <c r="P370">
        <f>RTD("tos.rtd", , "Mark", A370)</f>
        <v>0</v>
      </c>
    </row>
    <row r="371" spans="1:16" x14ac:dyDescent="0.25">
      <c r="A371" t="s">
        <v>383</v>
      </c>
      <c r="B371">
        <f>RTD("tos.rtd", , "Last", A371)</f>
        <v>102.64</v>
      </c>
      <c r="C371" t="str">
        <f>RTD("tos.rtd", , "STRENGTH_METER", A371)</f>
        <v>Range Bound</v>
      </c>
      <c r="D371" t="str">
        <f>RTD("tos.rtd", , "QUOTE_TREND", A371)</f>
        <v>instrument=PM</v>
      </c>
      <c r="E371">
        <f>RTD("tos.rtd", , "NET_CHANGE", A371)</f>
        <v>-0.02</v>
      </c>
      <c r="F371">
        <f>RTD("tos.rtd", , "BID", A371)</f>
        <v>101.51</v>
      </c>
      <c r="G371">
        <f>RTD("tos.rtd", , "ASK", A371)</f>
        <v>102.74</v>
      </c>
      <c r="H371">
        <f>RTD("tos.rtd", , "BID_SIZE", A371)</f>
        <v>3</v>
      </c>
      <c r="I371">
        <f>RTD("tos.rtd", , "ASK_SIZE", A371)</f>
        <v>1</v>
      </c>
      <c r="J371">
        <f>RTD("tos.rtd", , "VOLUME", A371)</f>
        <v>4020221</v>
      </c>
      <c r="K371">
        <f>RTD("tos.rtd", , "OPEN", A371)</f>
        <v>102.21</v>
      </c>
      <c r="L371">
        <f>RTD("tos.rtd", , "HIGH",A371)</f>
        <v>103.01</v>
      </c>
      <c r="M371">
        <f>RTD("tos.rtd", , "LOW", A371)</f>
        <v>102.01</v>
      </c>
      <c r="N371">
        <f>RTD("tos.rtd", , "52HIGH", A371)</f>
        <v>123.55</v>
      </c>
      <c r="O371">
        <f>RTD("tos.rtd", , "52LOW", A371)</f>
        <v>86.78</v>
      </c>
      <c r="P371">
        <f>RTD("tos.rtd", , "Mark", A371)</f>
        <v>102.64</v>
      </c>
    </row>
    <row r="372" spans="1:16" x14ac:dyDescent="0.25">
      <c r="A372" t="s">
        <v>384</v>
      </c>
      <c r="B372">
        <f>RTD("tos.rtd", , "Last", A372)</f>
        <v>132.85</v>
      </c>
      <c r="C372" t="str">
        <f>RTD("tos.rtd", , "STRENGTH_METER", A372)</f>
        <v>Range Bound</v>
      </c>
      <c r="D372" t="str">
        <f>RTD("tos.rtd", , "QUOTE_TREND", A372)</f>
        <v>instrument=PNC</v>
      </c>
      <c r="E372">
        <f>RTD("tos.rtd", , "NET_CHANGE", A372)</f>
        <v>0.36</v>
      </c>
      <c r="F372">
        <f>RTD("tos.rtd", , "BID", A372)</f>
        <v>130.03</v>
      </c>
      <c r="G372">
        <f>RTD("tos.rtd", , "ASK", A372)</f>
        <v>132.88999999999999</v>
      </c>
      <c r="H372">
        <f>RTD("tos.rtd", , "BID_SIZE", A372)</f>
        <v>2</v>
      </c>
      <c r="I372">
        <f>RTD("tos.rtd", , "ASK_SIZE", A372)</f>
        <v>1</v>
      </c>
      <c r="J372">
        <f>RTD("tos.rtd", , "VOLUME", A372)</f>
        <v>1066390</v>
      </c>
      <c r="K372">
        <f>RTD("tos.rtd", , "OPEN", A372)</f>
        <v>131.59</v>
      </c>
      <c r="L372">
        <f>RTD("tos.rtd", , "HIGH",A372)</f>
        <v>133.16</v>
      </c>
      <c r="M372">
        <f>RTD("tos.rtd", , "LOW", A372)</f>
        <v>131.38999999999999</v>
      </c>
      <c r="N372">
        <f>RTD("tos.rtd", , "52HIGH", A372)</f>
        <v>139.22999999999999</v>
      </c>
      <c r="O372">
        <f>RTD("tos.rtd", , "52LOW", A372)</f>
        <v>106.97</v>
      </c>
      <c r="P372">
        <f>RTD("tos.rtd", , "Mark", A372)</f>
        <v>132.85</v>
      </c>
    </row>
    <row r="373" spans="1:16" x14ac:dyDescent="0.25">
      <c r="A373" t="s">
        <v>385</v>
      </c>
      <c r="B373">
        <f>RTD("tos.rtd", , "Last", A373)</f>
        <v>68.44</v>
      </c>
      <c r="C373" t="str">
        <f>RTD("tos.rtd", , "STRENGTH_METER", A373)</f>
        <v>Range Bound</v>
      </c>
      <c r="D373" t="str">
        <f>RTD("tos.rtd", , "QUOTE_TREND", A373)</f>
        <v>instrument=PNR</v>
      </c>
      <c r="E373">
        <f>RTD("tos.rtd", , "NET_CHANGE", A373)</f>
        <v>0.21</v>
      </c>
      <c r="F373">
        <f>RTD("tos.rtd", , "BID", A373)</f>
        <v>55.65</v>
      </c>
      <c r="G373">
        <f>RTD("tos.rtd", , "ASK", A373)</f>
        <v>70.11</v>
      </c>
      <c r="H373">
        <f>RTD("tos.rtd", , "BID_SIZE", A373)</f>
        <v>1</v>
      </c>
      <c r="I373">
        <f>RTD("tos.rtd", , "ASK_SIZE", A373)</f>
        <v>7</v>
      </c>
      <c r="J373">
        <f>RTD("tos.rtd", , "VOLUME", A373)</f>
        <v>1132526</v>
      </c>
      <c r="K373">
        <f>RTD("tos.rtd", , "OPEN", A373)</f>
        <v>67.790000000000006</v>
      </c>
      <c r="L373">
        <f>RTD("tos.rtd", , "HIGH",A373)</f>
        <v>68.77</v>
      </c>
      <c r="M373">
        <f>RTD("tos.rtd", , "LOW", A373)</f>
        <v>67.510000000000005</v>
      </c>
      <c r="N373">
        <f>RTD("tos.rtd", , "52HIGH", A373)</f>
        <v>71.650000000000006</v>
      </c>
      <c r="O373">
        <f>RTD("tos.rtd", , "52LOW", A373)</f>
        <v>55.76</v>
      </c>
      <c r="P373">
        <f>RTD("tos.rtd", , "Mark", A373)</f>
        <v>68.44</v>
      </c>
    </row>
    <row r="374" spans="1:16" x14ac:dyDescent="0.25">
      <c r="A374" t="s">
        <v>386</v>
      </c>
      <c r="B374">
        <f>RTD("tos.rtd", , "Last", A374)</f>
        <v>90.05</v>
      </c>
      <c r="C374" t="str">
        <f>RTD("tos.rtd", , "STRENGTH_METER", A374)</f>
        <v>Range Bound</v>
      </c>
      <c r="D374" t="str">
        <f>RTD("tos.rtd", , "QUOTE_TREND", A374)</f>
        <v>instrument=PNW</v>
      </c>
      <c r="E374">
        <f>RTD("tos.rtd", , "NET_CHANGE", A374)</f>
        <v>-0.73</v>
      </c>
      <c r="F374">
        <f>RTD("tos.rtd", , "BID", A374)</f>
        <v>0.89</v>
      </c>
      <c r="G374">
        <f>RTD("tos.rtd", , "ASK", A374)</f>
        <v>95.9</v>
      </c>
      <c r="H374">
        <f>RTD("tos.rtd", , "BID_SIZE", A374)</f>
        <v>1</v>
      </c>
      <c r="I374">
        <f>RTD("tos.rtd", , "ASK_SIZE", A374)</f>
        <v>1</v>
      </c>
      <c r="J374">
        <f>RTD("tos.rtd", , "VOLUME", A374)</f>
        <v>487402</v>
      </c>
      <c r="K374">
        <f>RTD("tos.rtd", , "OPEN", A374)</f>
        <v>90.58</v>
      </c>
      <c r="L374">
        <f>RTD("tos.rtd", , "HIGH",A374)</f>
        <v>91.14</v>
      </c>
      <c r="M374">
        <f>RTD("tos.rtd", , "LOW", A374)</f>
        <v>89.84</v>
      </c>
      <c r="N374">
        <f>RTD("tos.rtd", , "52HIGH", A374)</f>
        <v>92.48</v>
      </c>
      <c r="O374">
        <f>RTD("tos.rtd", , "52LOW", A374)</f>
        <v>72.61</v>
      </c>
      <c r="P374">
        <f>RTD("tos.rtd", , "Mark", A374)</f>
        <v>90.05</v>
      </c>
    </row>
    <row r="375" spans="1:16" x14ac:dyDescent="0.25">
      <c r="A375" t="s">
        <v>387</v>
      </c>
      <c r="B375">
        <f>RTD("tos.rtd", , "Last", A375)</f>
        <v>0</v>
      </c>
      <c r="C375" t="str">
        <f>RTD("tos.rtd", , "STRENGTH_METER", A375)</f>
        <v>N/A</v>
      </c>
      <c r="D375" t="str">
        <f>RTD("tos.rtd", , "QUOTE_TREND", A375)</f>
        <v>instrument=POM</v>
      </c>
      <c r="E375">
        <f>RTD("tos.rtd", , "NET_CHANGE", A375)</f>
        <v>0</v>
      </c>
      <c r="F375">
        <f>RTD("tos.rtd", , "BID", A375)</f>
        <v>27.24</v>
      </c>
      <c r="G375">
        <f>RTD("tos.rtd", , "ASK", A375)</f>
        <v>27.25</v>
      </c>
      <c r="H375">
        <f>RTD("tos.rtd", , "BID_SIZE", A375)</f>
        <v>0</v>
      </c>
      <c r="I375">
        <f>RTD("tos.rtd", , "ASK_SIZE", A375)</f>
        <v>0</v>
      </c>
      <c r="J375">
        <f>RTD("tos.rtd", , "VOLUME", A375)</f>
        <v>0</v>
      </c>
      <c r="K375">
        <f>RTD("tos.rtd", , "OPEN", A375)</f>
        <v>0</v>
      </c>
      <c r="L375">
        <f>RTD("tos.rtd", , "HIGH",A375)</f>
        <v>0</v>
      </c>
      <c r="M375">
        <f>RTD("tos.rtd", , "LOW", A375)</f>
        <v>0</v>
      </c>
      <c r="N375">
        <f>RTD("tos.rtd", , "52HIGH", A375)</f>
        <v>27.34</v>
      </c>
      <c r="O375">
        <f>RTD("tos.rtd", , "52LOW", A375)</f>
        <v>21.12</v>
      </c>
      <c r="P375">
        <f>RTD("tos.rtd", , "Mark", A375)</f>
        <v>27.24</v>
      </c>
    </row>
    <row r="376" spans="1:16" x14ac:dyDescent="0.25">
      <c r="A376" t="s">
        <v>388</v>
      </c>
      <c r="B376">
        <f>RTD("tos.rtd", , "Last", A376)</f>
        <v>113.83</v>
      </c>
      <c r="C376" t="str">
        <f>RTD("tos.rtd", , "STRENGTH_METER", A376)</f>
        <v>Range Bound</v>
      </c>
      <c r="D376" t="str">
        <f>RTD("tos.rtd", , "QUOTE_TREND", A376)</f>
        <v>instrument=PPG</v>
      </c>
      <c r="E376">
        <f>RTD("tos.rtd", , "NET_CHANGE", A376)</f>
        <v>-0.18</v>
      </c>
      <c r="F376">
        <f>RTD("tos.rtd", , "BID", A376)</f>
        <v>113.83</v>
      </c>
      <c r="G376">
        <f>RTD("tos.rtd", , "ASK", A376)</f>
        <v>115.09</v>
      </c>
      <c r="H376">
        <f>RTD("tos.rtd", , "BID_SIZE", A376)</f>
        <v>1</v>
      </c>
      <c r="I376">
        <f>RTD("tos.rtd", , "ASK_SIZE", A376)</f>
        <v>1</v>
      </c>
      <c r="J376">
        <f>RTD("tos.rtd", , "VOLUME", A376)</f>
        <v>1655611</v>
      </c>
      <c r="K376">
        <f>RTD("tos.rtd", , "OPEN", A376)</f>
        <v>114</v>
      </c>
      <c r="L376">
        <f>RTD("tos.rtd", , "HIGH",A376)</f>
        <v>114.46</v>
      </c>
      <c r="M376">
        <f>RTD("tos.rtd", , "LOW", A376)</f>
        <v>113.57</v>
      </c>
      <c r="N376">
        <f>RTD("tos.rtd", , "52HIGH", A376)</f>
        <v>119.85</v>
      </c>
      <c r="O376">
        <f>RTD("tos.rtd", , "52LOW", A376)</f>
        <v>93.8001</v>
      </c>
      <c r="P376">
        <f>RTD("tos.rtd", , "Mark", A376)</f>
        <v>113.83</v>
      </c>
    </row>
    <row r="377" spans="1:16" x14ac:dyDescent="0.25">
      <c r="A377" t="s">
        <v>389</v>
      </c>
      <c r="B377">
        <f>RTD("tos.rtd", , "Last", A377)</f>
        <v>36.26</v>
      </c>
      <c r="C377" t="str">
        <f>RTD("tos.rtd", , "STRENGTH_METER", A377)</f>
        <v>Range Bound</v>
      </c>
      <c r="D377" t="str">
        <f>RTD("tos.rtd", , "QUOTE_TREND", A377)</f>
        <v>instrument=PPL</v>
      </c>
      <c r="E377">
        <f>RTD("tos.rtd", , "NET_CHANGE", A377)</f>
        <v>0.04</v>
      </c>
      <c r="F377">
        <f>RTD("tos.rtd", , "BID", A377)</f>
        <v>36.17</v>
      </c>
      <c r="G377">
        <f>RTD("tos.rtd", , "ASK", A377)</f>
        <v>36.229999999999997</v>
      </c>
      <c r="H377">
        <f>RTD("tos.rtd", , "BID_SIZE", A377)</f>
        <v>1</v>
      </c>
      <c r="I377">
        <f>RTD("tos.rtd", , "ASK_SIZE", A377)</f>
        <v>1</v>
      </c>
      <c r="J377">
        <f>RTD("tos.rtd", , "VOLUME", A377)</f>
        <v>4342535</v>
      </c>
      <c r="K377">
        <f>RTD("tos.rtd", , "OPEN", A377)</f>
        <v>36.130000000000003</v>
      </c>
      <c r="L377">
        <f>RTD("tos.rtd", , "HIGH",A377)</f>
        <v>36.44</v>
      </c>
      <c r="M377">
        <f>RTD("tos.rtd", , "LOW", A377)</f>
        <v>36.06</v>
      </c>
      <c r="N377">
        <f>RTD("tos.rtd", , "52HIGH", A377)</f>
        <v>40.200000000000003</v>
      </c>
      <c r="O377">
        <f>RTD("tos.rtd", , "52LOW", A377)</f>
        <v>32.67</v>
      </c>
      <c r="P377">
        <f>RTD("tos.rtd", , "Mark", A377)</f>
        <v>36.229999999999997</v>
      </c>
    </row>
    <row r="378" spans="1:16" x14ac:dyDescent="0.25">
      <c r="A378" t="s">
        <v>390</v>
      </c>
      <c r="B378">
        <f>RTD("tos.rtd", , "Last", A378)</f>
        <v>85.89</v>
      </c>
      <c r="C378" t="str">
        <f>RTD("tos.rtd", , "STRENGTH_METER", A378)</f>
        <v>Range Bound</v>
      </c>
      <c r="D378" t="str">
        <f>RTD("tos.rtd", , "QUOTE_TREND", A378)</f>
        <v>instrument=PRGO</v>
      </c>
      <c r="E378">
        <f>RTD("tos.rtd", , "NET_CHANGE", A378)</f>
        <v>-1.1100000000000001</v>
      </c>
      <c r="F378">
        <f>RTD("tos.rtd", , "BID", A378)</f>
        <v>81.5</v>
      </c>
      <c r="G378">
        <f>RTD("tos.rtd", , "ASK", A378)</f>
        <v>88</v>
      </c>
      <c r="H378">
        <f>RTD("tos.rtd", , "BID_SIZE", A378)</f>
        <v>3</v>
      </c>
      <c r="I378">
        <f>RTD("tos.rtd", , "ASK_SIZE", A378)</f>
        <v>1</v>
      </c>
      <c r="J378">
        <f>RTD("tos.rtd", , "VOLUME", A378)</f>
        <v>1185708</v>
      </c>
      <c r="K378">
        <f>RTD("tos.rtd", , "OPEN", A378)</f>
        <v>86.51</v>
      </c>
      <c r="L378">
        <f>RTD("tos.rtd", , "HIGH",A378)</f>
        <v>86.78</v>
      </c>
      <c r="M378">
        <f>RTD("tos.rtd", , "LOW", A378)</f>
        <v>85.8</v>
      </c>
      <c r="N378">
        <f>RTD("tos.rtd", , "52HIGH", A378)</f>
        <v>91.73</v>
      </c>
      <c r="O378">
        <f>RTD("tos.rtd", , "52LOW", A378)</f>
        <v>63.68</v>
      </c>
      <c r="P378">
        <f>RTD("tos.rtd", , "Mark", A378)</f>
        <v>85.89</v>
      </c>
    </row>
    <row r="379" spans="1:16" x14ac:dyDescent="0.25">
      <c r="A379" t="s">
        <v>391</v>
      </c>
      <c r="B379">
        <f>RTD("tos.rtd", , "Last", A379)</f>
        <v>110.25</v>
      </c>
      <c r="C379" t="str">
        <f>RTD("tos.rtd", , "STRENGTH_METER", A379)</f>
        <v>Range Bound</v>
      </c>
      <c r="D379" t="str">
        <f>RTD("tos.rtd", , "QUOTE_TREND", A379)</f>
        <v>instrument=PRU</v>
      </c>
      <c r="E379">
        <f>RTD("tos.rtd", , "NET_CHANGE", A379)</f>
        <v>-0.12</v>
      </c>
      <c r="F379">
        <f>RTD("tos.rtd", , "BID", A379)</f>
        <v>106</v>
      </c>
      <c r="G379">
        <f>RTD("tos.rtd", , "ASK", A379)</f>
        <v>111.32</v>
      </c>
      <c r="H379">
        <f>RTD("tos.rtd", , "BID_SIZE", A379)</f>
        <v>1</v>
      </c>
      <c r="I379">
        <f>RTD("tos.rtd", , "ASK_SIZE", A379)</f>
        <v>1</v>
      </c>
      <c r="J379">
        <f>RTD("tos.rtd", , "VOLUME", A379)</f>
        <v>1231334</v>
      </c>
      <c r="K379">
        <f>RTD("tos.rtd", , "OPEN", A379)</f>
        <v>109.81</v>
      </c>
      <c r="L379">
        <f>RTD("tos.rtd", , "HIGH",A379)</f>
        <v>110.955</v>
      </c>
      <c r="M379">
        <f>RTD("tos.rtd", , "LOW", A379)</f>
        <v>109.61</v>
      </c>
      <c r="N379">
        <f>RTD("tos.rtd", , "52HIGH", A379)</f>
        <v>115.26</v>
      </c>
      <c r="O379">
        <f>RTD("tos.rtd", , "52LOW", A379)</f>
        <v>96.71</v>
      </c>
      <c r="P379">
        <f>RTD("tos.rtd", , "Mark", A379)</f>
        <v>110.25</v>
      </c>
    </row>
    <row r="380" spans="1:16" x14ac:dyDescent="0.25">
      <c r="A380" t="s">
        <v>392</v>
      </c>
      <c r="B380">
        <f>RTD("tos.rtd", , "Last", A380)</f>
        <v>211.85</v>
      </c>
      <c r="C380" t="str">
        <f>RTD("tos.rtd", , "STRENGTH_METER", A380)</f>
        <v>Range Bound</v>
      </c>
      <c r="D380" t="str">
        <f>RTD("tos.rtd", , "QUOTE_TREND", A380)</f>
        <v>instrument=PSA</v>
      </c>
      <c r="E380">
        <f>RTD("tos.rtd", , "NET_CHANGE", A380)</f>
        <v>-1.82</v>
      </c>
      <c r="F380">
        <f>RTD("tos.rtd", , "BID", A380)</f>
        <v>207.03</v>
      </c>
      <c r="G380">
        <f>RTD("tos.rtd", , "ASK", A380)</f>
        <v>232</v>
      </c>
      <c r="H380">
        <f>RTD("tos.rtd", , "BID_SIZE", A380)</f>
        <v>1</v>
      </c>
      <c r="I380">
        <f>RTD("tos.rtd", , "ASK_SIZE", A380)</f>
        <v>1</v>
      </c>
      <c r="J380">
        <f>RTD("tos.rtd", , "VOLUME", A380)</f>
        <v>680126</v>
      </c>
      <c r="K380">
        <f>RTD("tos.rtd", , "OPEN", A380)</f>
        <v>212.75</v>
      </c>
      <c r="L380">
        <f>RTD("tos.rtd", , "HIGH",A380)</f>
        <v>213.74</v>
      </c>
      <c r="M380">
        <f>RTD("tos.rtd", , "LOW", A380)</f>
        <v>211.66</v>
      </c>
      <c r="N380">
        <f>RTD("tos.rtd", , "52HIGH", A380)</f>
        <v>232.21</v>
      </c>
      <c r="O380">
        <f>RTD("tos.rtd", , "52LOW", A380)</f>
        <v>192.15</v>
      </c>
      <c r="P380">
        <f>RTD("tos.rtd", , "Mark", A380)</f>
        <v>211.85</v>
      </c>
    </row>
    <row r="381" spans="1:16" x14ac:dyDescent="0.25">
      <c r="A381" t="s">
        <v>393</v>
      </c>
      <c r="B381">
        <f>RTD("tos.rtd", , "Last", A381)</f>
        <v>92.65</v>
      </c>
      <c r="C381" t="str">
        <f>RTD("tos.rtd", , "STRENGTH_METER", A381)</f>
        <v>Range Bound</v>
      </c>
      <c r="D381" t="str">
        <f>RTD("tos.rtd", , "QUOTE_TREND", A381)</f>
        <v>instrument=PSX</v>
      </c>
      <c r="E381">
        <f>RTD("tos.rtd", , "NET_CHANGE", A381)</f>
        <v>0.19</v>
      </c>
      <c r="F381">
        <f>RTD("tos.rtd", , "BID", A381)</f>
        <v>91.5</v>
      </c>
      <c r="G381">
        <f>RTD("tos.rtd", , "ASK", A381)</f>
        <v>93.57</v>
      </c>
      <c r="H381">
        <f>RTD("tos.rtd", , "BID_SIZE", A381)</f>
        <v>5</v>
      </c>
      <c r="I381">
        <f>RTD("tos.rtd", , "ASK_SIZE", A381)</f>
        <v>5</v>
      </c>
      <c r="J381">
        <f>RTD("tos.rtd", , "VOLUME", A381)</f>
        <v>1339489</v>
      </c>
      <c r="K381">
        <f>RTD("tos.rtd", , "OPEN", A381)</f>
        <v>92.24</v>
      </c>
      <c r="L381">
        <f>RTD("tos.rtd", , "HIGH",A381)</f>
        <v>93.19</v>
      </c>
      <c r="M381">
        <f>RTD("tos.rtd", , "LOW", A381)</f>
        <v>91.97</v>
      </c>
      <c r="N381">
        <f>RTD("tos.rtd", , "52HIGH", A381)</f>
        <v>95</v>
      </c>
      <c r="O381">
        <f>RTD("tos.rtd", , "52LOW", A381)</f>
        <v>75.135000000000005</v>
      </c>
      <c r="P381">
        <f>RTD("tos.rtd", , "Mark", A381)</f>
        <v>92.65</v>
      </c>
    </row>
    <row r="382" spans="1:16" x14ac:dyDescent="0.25">
      <c r="A382" t="s">
        <v>394</v>
      </c>
      <c r="B382">
        <f>RTD("tos.rtd", , "Last", A382)</f>
        <v>133.12</v>
      </c>
      <c r="C382" t="str">
        <f>RTD("tos.rtd", , "STRENGTH_METER", A382)</f>
        <v>Range Bound</v>
      </c>
      <c r="D382" t="str">
        <f>RTD("tos.rtd", , "QUOTE_TREND", A382)</f>
        <v>instrument=PVH</v>
      </c>
      <c r="E382">
        <f>RTD("tos.rtd", , "NET_CHANGE", A382)</f>
        <v>3.18</v>
      </c>
      <c r="F382">
        <f>RTD("tos.rtd", , "BID", A382)</f>
        <v>133.18</v>
      </c>
      <c r="G382">
        <f>RTD("tos.rtd", , "ASK", A382)</f>
        <v>141.1</v>
      </c>
      <c r="H382">
        <f>RTD("tos.rtd", , "BID_SIZE", A382)</f>
        <v>4</v>
      </c>
      <c r="I382">
        <f>RTD("tos.rtd", , "ASK_SIZE", A382)</f>
        <v>1</v>
      </c>
      <c r="J382">
        <f>RTD("tos.rtd", , "VOLUME", A382)</f>
        <v>1297259</v>
      </c>
      <c r="K382">
        <f>RTD("tos.rtd", , "OPEN", A382)</f>
        <v>130.66999999999999</v>
      </c>
      <c r="L382">
        <f>RTD("tos.rtd", , "HIGH",A382)</f>
        <v>133.47</v>
      </c>
      <c r="M382">
        <f>RTD("tos.rtd", , "LOW", A382)</f>
        <v>130.41</v>
      </c>
      <c r="N382">
        <f>RTD("tos.rtd", , "52HIGH", A382)</f>
        <v>133.24</v>
      </c>
      <c r="O382">
        <f>RTD("tos.rtd", , "52LOW", A382)</f>
        <v>84.53</v>
      </c>
      <c r="P382">
        <f>RTD("tos.rtd", , "Mark", A382)</f>
        <v>133.18</v>
      </c>
    </row>
    <row r="383" spans="1:16" x14ac:dyDescent="0.25">
      <c r="A383" t="s">
        <v>395</v>
      </c>
      <c r="B383">
        <f>RTD("tos.rtd", , "Last", A383)</f>
        <v>36.01</v>
      </c>
      <c r="C383" t="str">
        <f>RTD("tos.rtd", , "STRENGTH_METER", A383)</f>
        <v>Range Bound</v>
      </c>
      <c r="D383" t="str">
        <f>RTD("tos.rtd", , "QUOTE_TREND", A383)</f>
        <v>instrument=PWR</v>
      </c>
      <c r="E383">
        <f>RTD("tos.rtd", , "NET_CHANGE", A383)</f>
        <v>0.04</v>
      </c>
      <c r="F383">
        <f>RTD("tos.rtd", , "BID", A383)</f>
        <v>35</v>
      </c>
      <c r="G383">
        <f>RTD("tos.rtd", , "ASK", A383)</f>
        <v>36.67</v>
      </c>
      <c r="H383">
        <f>RTD("tos.rtd", , "BID_SIZE", A383)</f>
        <v>2</v>
      </c>
      <c r="I383">
        <f>RTD("tos.rtd", , "ASK_SIZE", A383)</f>
        <v>1</v>
      </c>
      <c r="J383">
        <f>RTD("tos.rtd", , "VOLUME", A383)</f>
        <v>1588713</v>
      </c>
      <c r="K383">
        <f>RTD("tos.rtd", , "OPEN", A383)</f>
        <v>35.81</v>
      </c>
      <c r="L383">
        <f>RTD("tos.rtd", , "HIGH",A383)</f>
        <v>36.365000000000002</v>
      </c>
      <c r="M383">
        <f>RTD("tos.rtd", , "LOW", A383)</f>
        <v>35.81</v>
      </c>
      <c r="N383">
        <f>RTD("tos.rtd", , "52HIGH", A383)</f>
        <v>38.82</v>
      </c>
      <c r="O383">
        <f>RTD("tos.rtd", , "52LOW", A383)</f>
        <v>30.23</v>
      </c>
      <c r="P383">
        <f>RTD("tos.rtd", , "Mark", A383)</f>
        <v>36.01</v>
      </c>
    </row>
    <row r="384" spans="1:16" x14ac:dyDescent="0.25">
      <c r="A384" t="s">
        <v>396</v>
      </c>
      <c r="B384">
        <f>RTD("tos.rtd", , "Last", A384)</f>
        <v>150.63999999999999</v>
      </c>
      <c r="C384" t="str">
        <f>RTD("tos.rtd", , "STRENGTH_METER", A384)</f>
        <v>Range Bound</v>
      </c>
      <c r="D384" t="str">
        <f>RTD("tos.rtd", , "QUOTE_TREND", A384)</f>
        <v>instrument=PX</v>
      </c>
      <c r="E384">
        <f>RTD("tos.rtd", , "NET_CHANGE", A384)</f>
        <v>1.6</v>
      </c>
      <c r="F384">
        <f>RTD("tos.rtd", , "BID", A384)</f>
        <v>140.65</v>
      </c>
      <c r="G384">
        <f>RTD("tos.rtd", , "ASK", A384)</f>
        <v>150.63999999999999</v>
      </c>
      <c r="H384">
        <f>RTD("tos.rtd", , "BID_SIZE", A384)</f>
        <v>4</v>
      </c>
      <c r="I384">
        <f>RTD("tos.rtd", , "ASK_SIZE", A384)</f>
        <v>0</v>
      </c>
      <c r="J384">
        <f>RTD("tos.rtd", , "VOLUME", A384)</f>
        <v>2919280</v>
      </c>
      <c r="K384">
        <f>RTD("tos.rtd", , "OPEN", A384)</f>
        <v>149.11000000000001</v>
      </c>
      <c r="L384">
        <f>RTD("tos.rtd", , "HIGH",A384)</f>
        <v>151.44</v>
      </c>
      <c r="M384">
        <f>RTD("tos.rtd", , "LOW", A384)</f>
        <v>149.04</v>
      </c>
      <c r="N384">
        <f>RTD("tos.rtd", , "52HIGH", A384)</f>
        <v>150.25</v>
      </c>
      <c r="O384">
        <f>RTD("tos.rtd", , "52LOW", A384)</f>
        <v>115</v>
      </c>
      <c r="P384">
        <f>RTD("tos.rtd", , "Mark", A384)</f>
        <v>150.63999999999999</v>
      </c>
    </row>
    <row r="385" spans="1:16" x14ac:dyDescent="0.25">
      <c r="A385" t="s">
        <v>397</v>
      </c>
      <c r="B385">
        <f>RTD("tos.rtd", , "Last", A385)</f>
        <v>152.22</v>
      </c>
      <c r="C385" t="str">
        <f>RTD("tos.rtd", , "STRENGTH_METER", A385)</f>
        <v>Range Bound</v>
      </c>
      <c r="D385" t="str">
        <f>RTD("tos.rtd", , "QUOTE_TREND", A385)</f>
        <v>instrument=PXD</v>
      </c>
      <c r="E385">
        <f>RTD("tos.rtd", , "NET_CHANGE", A385)</f>
        <v>1.18</v>
      </c>
      <c r="F385">
        <f>RTD("tos.rtd", , "BID", A385)</f>
        <v>150.01</v>
      </c>
      <c r="G385">
        <f>RTD("tos.rtd", , "ASK", A385)</f>
        <v>155.28</v>
      </c>
      <c r="H385">
        <f>RTD("tos.rtd", , "BID_SIZE", A385)</f>
        <v>1</v>
      </c>
      <c r="I385">
        <f>RTD("tos.rtd", , "ASK_SIZE", A385)</f>
        <v>1</v>
      </c>
      <c r="J385">
        <f>RTD("tos.rtd", , "VOLUME", A385)</f>
        <v>951615</v>
      </c>
      <c r="K385">
        <f>RTD("tos.rtd", , "OPEN", A385)</f>
        <v>151.43</v>
      </c>
      <c r="L385">
        <f>RTD("tos.rtd", , "HIGH",A385)</f>
        <v>153.29</v>
      </c>
      <c r="M385">
        <f>RTD("tos.rtd", , "LOW", A385)</f>
        <v>150.94</v>
      </c>
      <c r="N385">
        <f>RTD("tos.rtd", , "52HIGH", A385)</f>
        <v>199.83</v>
      </c>
      <c r="O385">
        <f>RTD("tos.rtd", , "52LOW", A385)</f>
        <v>125.46</v>
      </c>
      <c r="P385">
        <f>RTD("tos.rtd", , "Mark", A385)</f>
        <v>152.22</v>
      </c>
    </row>
    <row r="386" spans="1:16" x14ac:dyDescent="0.25">
      <c r="A386" t="s">
        <v>398</v>
      </c>
      <c r="B386">
        <f>RTD("tos.rtd", , "Last", A386)</f>
        <v>66.72</v>
      </c>
      <c r="C386" t="str">
        <f>RTD("tos.rtd", , "STRENGTH_METER", A386)</f>
        <v>Uptrend</v>
      </c>
      <c r="D386" t="str">
        <f>RTD("tos.rtd", , "QUOTE_TREND", A386)</f>
        <v>instrument=QCOM</v>
      </c>
      <c r="E386">
        <f>RTD("tos.rtd", , "NET_CHANGE", A386)</f>
        <v>0.61</v>
      </c>
      <c r="F386">
        <f>RTD("tos.rtd", , "BID", A386)</f>
        <v>66.62</v>
      </c>
      <c r="G386">
        <f>RTD("tos.rtd", , "ASK", A386)</f>
        <v>66.790000000000006</v>
      </c>
      <c r="H386">
        <f>RTD("tos.rtd", , "BID_SIZE", A386)</f>
        <v>3</v>
      </c>
      <c r="I386">
        <f>RTD("tos.rtd", , "ASK_SIZE", A386)</f>
        <v>1</v>
      </c>
      <c r="J386">
        <f>RTD("tos.rtd", , "VOLUME", A386)</f>
        <v>12454464</v>
      </c>
      <c r="K386">
        <f>RTD("tos.rtd", , "OPEN", A386)</f>
        <v>66.37</v>
      </c>
      <c r="L386">
        <f>RTD("tos.rtd", , "HIGH",A386)</f>
        <v>66.95</v>
      </c>
      <c r="M386">
        <f>RTD("tos.rtd", , "LOW", A386)</f>
        <v>66</v>
      </c>
      <c r="N386">
        <f>RTD("tos.rtd", , "52HIGH", A386)</f>
        <v>70.239999999999995</v>
      </c>
      <c r="O386">
        <f>RTD("tos.rtd", , "52LOW", A386)</f>
        <v>48.92</v>
      </c>
      <c r="P386">
        <f>RTD("tos.rtd", , "Mark", A386)</f>
        <v>66.72</v>
      </c>
    </row>
    <row r="387" spans="1:16" x14ac:dyDescent="0.25">
      <c r="A387" t="s">
        <v>399</v>
      </c>
      <c r="B387">
        <f>RTD("tos.rtd", , "Last", A387)</f>
        <v>8.8000000000000007</v>
      </c>
      <c r="C387" t="str">
        <f>RTD("tos.rtd", , "STRENGTH_METER", A387)</f>
        <v>Uptrend</v>
      </c>
      <c r="D387" t="str">
        <f>RTD("tos.rtd", , "QUOTE_TREND", A387)</f>
        <v>instrument=QEP</v>
      </c>
      <c r="E387">
        <f>RTD("tos.rtd", , "NET_CHANGE", A387)</f>
        <v>0.26</v>
      </c>
      <c r="F387">
        <f>RTD("tos.rtd", , "BID", A387)</f>
        <v>8</v>
      </c>
      <c r="G387">
        <f>RTD("tos.rtd", , "ASK", A387)</f>
        <v>8.8000000000000007</v>
      </c>
      <c r="H387">
        <f>RTD("tos.rtd", , "BID_SIZE", A387)</f>
        <v>5</v>
      </c>
      <c r="I387">
        <f>RTD("tos.rtd", , "ASK_SIZE", A387)</f>
        <v>2</v>
      </c>
      <c r="J387">
        <f>RTD("tos.rtd", , "VOLUME", A387)</f>
        <v>4661980</v>
      </c>
      <c r="K387">
        <f>RTD("tos.rtd", , "OPEN", A387)</f>
        <v>8.66</v>
      </c>
      <c r="L387">
        <f>RTD("tos.rtd", , "HIGH",A387)</f>
        <v>8.8949999999999996</v>
      </c>
      <c r="M387">
        <f>RTD("tos.rtd", , "LOW", A387)</f>
        <v>8.61</v>
      </c>
      <c r="N387">
        <f>RTD("tos.rtd", , "52HIGH", A387)</f>
        <v>21.12</v>
      </c>
      <c r="O387">
        <f>RTD("tos.rtd", , "52LOW", A387)</f>
        <v>7.02</v>
      </c>
      <c r="P387">
        <f>RTD("tos.rtd", , "Mark", A387)</f>
        <v>8.8000000000000007</v>
      </c>
    </row>
    <row r="388" spans="1:16" x14ac:dyDescent="0.25">
      <c r="A388" t="s">
        <v>400</v>
      </c>
      <c r="B388">
        <f>RTD("tos.rtd", , "Last", A388)</f>
        <v>76.349999999999994</v>
      </c>
      <c r="C388" t="str">
        <f>RTD("tos.rtd", , "STRENGTH_METER", A388)</f>
        <v>Range Bound</v>
      </c>
      <c r="D388" t="str">
        <f>RTD("tos.rtd", , "QUOTE_TREND", A388)</f>
        <v>instrument=R</v>
      </c>
      <c r="E388">
        <f>RTD("tos.rtd", , "NET_CHANGE", A388)</f>
        <v>-3.46</v>
      </c>
      <c r="F388">
        <f>RTD("tos.rtd", , "BID", A388)</f>
        <v>72.349999999999994</v>
      </c>
      <c r="G388">
        <f>RTD("tos.rtd", , "ASK", A388)</f>
        <v>77.41</v>
      </c>
      <c r="H388">
        <f>RTD("tos.rtd", , "BID_SIZE", A388)</f>
        <v>1</v>
      </c>
      <c r="I388">
        <f>RTD("tos.rtd", , "ASK_SIZE", A388)</f>
        <v>1</v>
      </c>
      <c r="J388">
        <f>RTD("tos.rtd", , "VOLUME", A388)</f>
        <v>1066565</v>
      </c>
      <c r="K388">
        <f>RTD("tos.rtd", , "OPEN", A388)</f>
        <v>79.319999999999993</v>
      </c>
      <c r="L388">
        <f>RTD("tos.rtd", , "HIGH",A388)</f>
        <v>79.319999999999993</v>
      </c>
      <c r="M388">
        <f>RTD("tos.rtd", , "LOW", A388)</f>
        <v>76.11</v>
      </c>
      <c r="N388">
        <f>RTD("tos.rtd", , "52HIGH", A388)</f>
        <v>85.5</v>
      </c>
      <c r="O388">
        <f>RTD("tos.rtd", , "52LOW", A388)</f>
        <v>62.52</v>
      </c>
      <c r="P388">
        <f>RTD("tos.rtd", , "Mark", A388)</f>
        <v>76.349999999999994</v>
      </c>
    </row>
    <row r="389" spans="1:16" x14ac:dyDescent="0.25">
      <c r="A389" t="s">
        <v>401</v>
      </c>
      <c r="B389">
        <f>RTD("tos.rtd", , "Last", A389)</f>
        <v>65.400000000000006</v>
      </c>
      <c r="C389" t="str">
        <f>RTD("tos.rtd", , "STRENGTH_METER", A389)</f>
        <v>Range Bound</v>
      </c>
      <c r="D389" t="str">
        <f>RTD("tos.rtd", , "QUOTE_TREND", A389)</f>
        <v>instrument=RAI</v>
      </c>
      <c r="E389">
        <f>RTD("tos.rtd", , "NET_CHANGE", A389)</f>
        <v>0</v>
      </c>
      <c r="F389">
        <f>RTD("tos.rtd", , "BID", A389)</f>
        <v>65.5</v>
      </c>
      <c r="G389">
        <f>RTD("tos.rtd", , "ASK", A389)</f>
        <v>65.59</v>
      </c>
      <c r="H389">
        <f>RTD("tos.rtd", , "BID_SIZE", A389)</f>
        <v>0</v>
      </c>
      <c r="I389">
        <f>RTD("tos.rtd", , "ASK_SIZE", A389)</f>
        <v>0</v>
      </c>
      <c r="J389">
        <f>RTD("tos.rtd", , "VOLUME", A389)</f>
        <v>0</v>
      </c>
      <c r="K389">
        <f>RTD("tos.rtd", , "OPEN", A389)</f>
        <v>0</v>
      </c>
      <c r="L389">
        <f>RTD("tos.rtd", , "HIGH",A389)</f>
        <v>0</v>
      </c>
      <c r="M389">
        <f>RTD("tos.rtd", , "LOW", A389)</f>
        <v>0</v>
      </c>
      <c r="N389">
        <f>RTD("tos.rtd", , "52HIGH", A389)</f>
        <v>67.805000000000007</v>
      </c>
      <c r="O389">
        <f>RTD("tos.rtd", , "52LOW", A389)</f>
        <v>43.38</v>
      </c>
      <c r="P389">
        <f>RTD("tos.rtd", , "Mark", A389)</f>
        <v>65.5</v>
      </c>
    </row>
    <row r="390" spans="1:16" x14ac:dyDescent="0.25">
      <c r="A390" t="s">
        <v>402</v>
      </c>
      <c r="B390">
        <f>RTD("tos.rtd", , "Last", A390)</f>
        <v>13.87</v>
      </c>
      <c r="C390" t="str">
        <f>RTD("tos.rtd", , "STRENGTH_METER", A390)</f>
        <v>Range Bound</v>
      </c>
      <c r="D390" t="str">
        <f>RTD("tos.rtd", , "QUOTE_TREND", A390)</f>
        <v>instrument=RDC</v>
      </c>
      <c r="E390">
        <f>RTD("tos.rtd", , "NET_CHANGE", A390)</f>
        <v>0.11</v>
      </c>
      <c r="F390">
        <f>RTD("tos.rtd", , "BID", A390)</f>
        <v>11.93</v>
      </c>
      <c r="G390">
        <f>RTD("tos.rtd", , "ASK", A390)</f>
        <v>14.21</v>
      </c>
      <c r="H390">
        <f>RTD("tos.rtd", , "BID_SIZE", A390)</f>
        <v>0</v>
      </c>
      <c r="I390">
        <f>RTD("tos.rtd", , "ASK_SIZE", A390)</f>
        <v>1</v>
      </c>
      <c r="J390">
        <f>RTD("tos.rtd", , "VOLUME", A390)</f>
        <v>3636432</v>
      </c>
      <c r="K390">
        <f>RTD("tos.rtd", , "OPEN", A390)</f>
        <v>13.85</v>
      </c>
      <c r="L390">
        <f>RTD("tos.rtd", , "HIGH",A390)</f>
        <v>14.03</v>
      </c>
      <c r="M390">
        <f>RTD("tos.rtd", , "LOW", A390)</f>
        <v>13.37</v>
      </c>
      <c r="N390">
        <f>RTD("tos.rtd", , "52HIGH", A390)</f>
        <v>21.68</v>
      </c>
      <c r="O390">
        <f>RTD("tos.rtd", , "52LOW", A390)</f>
        <v>9.02</v>
      </c>
      <c r="P390">
        <f>RTD("tos.rtd", , "Mark", A390)</f>
        <v>13.87</v>
      </c>
    </row>
    <row r="391" spans="1:16" x14ac:dyDescent="0.25">
      <c r="A391" t="s">
        <v>403</v>
      </c>
      <c r="B391">
        <f>RTD("tos.rtd", , "Last", A391)</f>
        <v>391.59</v>
      </c>
      <c r="C391" t="str">
        <f>RTD("tos.rtd", , "STRENGTH_METER", A391)</f>
        <v>Range Bound</v>
      </c>
      <c r="D391" t="str">
        <f>RTD("tos.rtd", , "QUOTE_TREND", A391)</f>
        <v>instrument=REGN</v>
      </c>
      <c r="E391">
        <f>RTD("tos.rtd", , "NET_CHANGE", A391)</f>
        <v>-3.1</v>
      </c>
      <c r="F391">
        <f>RTD("tos.rtd", , "BID", A391)</f>
        <v>387.7</v>
      </c>
      <c r="G391">
        <f>RTD("tos.rtd", , "ASK", A391)</f>
        <v>392</v>
      </c>
      <c r="H391">
        <f>RTD("tos.rtd", , "BID_SIZE", A391)</f>
        <v>1</v>
      </c>
      <c r="I391">
        <f>RTD("tos.rtd", , "ASK_SIZE", A391)</f>
        <v>1</v>
      </c>
      <c r="J391">
        <f>RTD("tos.rtd", , "VOLUME", A391)</f>
        <v>628179</v>
      </c>
      <c r="K391">
        <f>RTD("tos.rtd", , "OPEN", A391)</f>
        <v>393.08</v>
      </c>
      <c r="L391">
        <f>RTD("tos.rtd", , "HIGH",A391)</f>
        <v>396.36</v>
      </c>
      <c r="M391">
        <f>RTD("tos.rtd", , "LOW", A391)</f>
        <v>390.52</v>
      </c>
      <c r="N391">
        <f>RTD("tos.rtd", , "52HIGH", A391)</f>
        <v>543.55179999999996</v>
      </c>
      <c r="O391">
        <f>RTD("tos.rtd", , "52LOW", A391)</f>
        <v>340.09</v>
      </c>
      <c r="P391">
        <f>RTD("tos.rtd", , "Mark", A391)</f>
        <v>391.59</v>
      </c>
    </row>
    <row r="392" spans="1:16" x14ac:dyDescent="0.25">
      <c r="A392" t="s">
        <v>404</v>
      </c>
      <c r="B392">
        <f>RTD("tos.rtd", , "Last", A392)</f>
        <v>15.8</v>
      </c>
      <c r="C392" t="str">
        <f>RTD("tos.rtd", , "STRENGTH_METER", A392)</f>
        <v>Range Bound</v>
      </c>
      <c r="D392" t="str">
        <f>RTD("tos.rtd", , "QUOTE_TREND", A392)</f>
        <v>instrument=RF</v>
      </c>
      <c r="E392">
        <f>RTD("tos.rtd", , "NET_CHANGE", A392)</f>
        <v>0.1</v>
      </c>
      <c r="F392">
        <f>RTD("tos.rtd", , "BID", A392)</f>
        <v>15.75</v>
      </c>
      <c r="G392">
        <f>RTD("tos.rtd", , "ASK", A392)</f>
        <v>15.81</v>
      </c>
      <c r="H392">
        <f>RTD("tos.rtd", , "BID_SIZE", A392)</f>
        <v>7</v>
      </c>
      <c r="I392">
        <f>RTD("tos.rtd", , "ASK_SIZE", A392)</f>
        <v>11</v>
      </c>
      <c r="J392">
        <f>RTD("tos.rtd", , "VOLUME", A392)</f>
        <v>10908184</v>
      </c>
      <c r="K392">
        <f>RTD("tos.rtd", , "OPEN", A392)</f>
        <v>15.6</v>
      </c>
      <c r="L392">
        <f>RTD("tos.rtd", , "HIGH",A392)</f>
        <v>15.89</v>
      </c>
      <c r="M392">
        <f>RTD("tos.rtd", , "LOW", A392)</f>
        <v>15.54</v>
      </c>
      <c r="N392">
        <f>RTD("tos.rtd", , "52HIGH", A392)</f>
        <v>16.03</v>
      </c>
      <c r="O392">
        <f>RTD("tos.rtd", , "52LOW", A392)</f>
        <v>12.8001</v>
      </c>
      <c r="P392">
        <f>RTD("tos.rtd", , "Mark", A392)</f>
        <v>15.8</v>
      </c>
    </row>
    <row r="393" spans="1:16" x14ac:dyDescent="0.25">
      <c r="A393" t="s">
        <v>405</v>
      </c>
      <c r="B393">
        <f>RTD("tos.rtd", , "Last", A393)</f>
        <v>54.9</v>
      </c>
      <c r="C393" t="str">
        <f>RTD("tos.rtd", , "STRENGTH_METER", A393)</f>
        <v>Range Bound</v>
      </c>
      <c r="D393" t="str">
        <f>RTD("tos.rtd", , "QUOTE_TREND", A393)</f>
        <v>instrument=RHI</v>
      </c>
      <c r="E393">
        <f>RTD("tos.rtd", , "NET_CHANGE", A393)</f>
        <v>0</v>
      </c>
      <c r="F393">
        <f>RTD("tos.rtd", , "BID", A393)</f>
        <v>51.92</v>
      </c>
      <c r="G393">
        <f>RTD("tos.rtd", , "ASK", A393)</f>
        <v>55.73</v>
      </c>
      <c r="H393">
        <f>RTD("tos.rtd", , "BID_SIZE", A393)</f>
        <v>0</v>
      </c>
      <c r="I393">
        <f>RTD("tos.rtd", , "ASK_SIZE", A393)</f>
        <v>8</v>
      </c>
      <c r="J393">
        <f>RTD("tos.rtd", , "VOLUME", A393)</f>
        <v>1202489</v>
      </c>
      <c r="K393">
        <f>RTD("tos.rtd", , "OPEN", A393)</f>
        <v>54.82</v>
      </c>
      <c r="L393">
        <f>RTD("tos.rtd", , "HIGH",A393)</f>
        <v>55.22</v>
      </c>
      <c r="M393">
        <f>RTD("tos.rtd", , "LOW", A393)</f>
        <v>54.24</v>
      </c>
      <c r="N393">
        <f>RTD("tos.rtd", , "52HIGH", A393)</f>
        <v>55.16</v>
      </c>
      <c r="O393">
        <f>RTD("tos.rtd", , "52LOW", A393)</f>
        <v>42.92</v>
      </c>
      <c r="P393">
        <f>RTD("tos.rtd", , "Mark", A393)</f>
        <v>54.9</v>
      </c>
    </row>
    <row r="394" spans="1:16" x14ac:dyDescent="0.25">
      <c r="A394" t="s">
        <v>406</v>
      </c>
      <c r="B394">
        <f>RTD("tos.rtd", , "Last", A394)</f>
        <v>125.95</v>
      </c>
      <c r="C394" t="str">
        <f>RTD("tos.rtd", , "STRENGTH_METER", A394)</f>
        <v>Range Bound</v>
      </c>
      <c r="D394" t="str">
        <f>RTD("tos.rtd", , "QUOTE_TREND", A394)</f>
        <v>instrument=RHT</v>
      </c>
      <c r="E394">
        <f>RTD("tos.rtd", , "NET_CHANGE", A394)</f>
        <v>-0.68</v>
      </c>
      <c r="F394">
        <f>RTD("tos.rtd", , "BID", A394)</f>
        <v>122.38</v>
      </c>
      <c r="G394">
        <f>RTD("tos.rtd", , "ASK", A394)</f>
        <v>126.36</v>
      </c>
      <c r="H394">
        <f>RTD("tos.rtd", , "BID_SIZE", A394)</f>
        <v>2</v>
      </c>
      <c r="I394">
        <f>RTD("tos.rtd", , "ASK_SIZE", A394)</f>
        <v>1</v>
      </c>
      <c r="J394">
        <f>RTD("tos.rtd", , "VOLUME", A394)</f>
        <v>1334352</v>
      </c>
      <c r="K394">
        <f>RTD("tos.rtd", , "OPEN", A394)</f>
        <v>126.2</v>
      </c>
      <c r="L394">
        <f>RTD("tos.rtd", , "HIGH",A394)</f>
        <v>126.46</v>
      </c>
      <c r="M394">
        <f>RTD("tos.rtd", , "LOW", A394)</f>
        <v>125.065</v>
      </c>
      <c r="N394">
        <f>RTD("tos.rtd", , "52HIGH", A394)</f>
        <v>126.67</v>
      </c>
      <c r="O394">
        <f>RTD("tos.rtd", , "52LOW", A394)</f>
        <v>68.540000000000006</v>
      </c>
      <c r="P394">
        <f>RTD("tos.rtd", , "Mark", A394)</f>
        <v>125.95</v>
      </c>
    </row>
    <row r="395" spans="1:16" x14ac:dyDescent="0.25">
      <c r="A395" t="s">
        <v>407</v>
      </c>
      <c r="B395">
        <f>RTD("tos.rtd", , "Last", A395)</f>
        <v>89.11</v>
      </c>
      <c r="C395" t="str">
        <f>RTD("tos.rtd", , "STRENGTH_METER", A395)</f>
        <v>Range Bound</v>
      </c>
      <c r="D395" t="str">
        <f>RTD("tos.rtd", , "QUOTE_TREND", A395)</f>
        <v>instrument=RL</v>
      </c>
      <c r="E395">
        <f>RTD("tos.rtd", , "NET_CHANGE", A395)</f>
        <v>0.7</v>
      </c>
      <c r="F395">
        <f>RTD("tos.rtd", , "BID", A395)</f>
        <v>78</v>
      </c>
      <c r="G395">
        <f>RTD("tos.rtd", , "ASK", A395)</f>
        <v>89.19</v>
      </c>
      <c r="H395">
        <f>RTD("tos.rtd", , "BID_SIZE", A395)</f>
        <v>1</v>
      </c>
      <c r="I395">
        <f>RTD("tos.rtd", , "ASK_SIZE", A395)</f>
        <v>1</v>
      </c>
      <c r="J395">
        <f>RTD("tos.rtd", , "VOLUME", A395)</f>
        <v>1077889</v>
      </c>
      <c r="K395">
        <f>RTD("tos.rtd", , "OPEN", A395)</f>
        <v>89.69</v>
      </c>
      <c r="L395">
        <f>RTD("tos.rtd", , "HIGH",A395)</f>
        <v>89.87</v>
      </c>
      <c r="M395">
        <f>RTD("tos.rtd", , "LOW", A395)</f>
        <v>88.5</v>
      </c>
      <c r="N395">
        <f>RTD("tos.rtd", , "52HIGH", A395)</f>
        <v>114</v>
      </c>
      <c r="O395">
        <f>RTD("tos.rtd", , "52LOW", A395)</f>
        <v>66.06</v>
      </c>
      <c r="P395">
        <f>RTD("tos.rtd", , "Mark", A395)</f>
        <v>89.11</v>
      </c>
    </row>
    <row r="396" spans="1:16" x14ac:dyDescent="0.25">
      <c r="A396" t="s">
        <v>408</v>
      </c>
      <c r="B396">
        <f>RTD("tos.rtd", , "Last", A396)</f>
        <v>194.36</v>
      </c>
      <c r="C396" t="str">
        <f>RTD("tos.rtd", , "STRENGTH_METER", A396)</f>
        <v>Range Bound</v>
      </c>
      <c r="D396" t="str">
        <f>RTD("tos.rtd", , "QUOTE_TREND", A396)</f>
        <v>instrument=ROK</v>
      </c>
      <c r="E396">
        <f>RTD("tos.rtd", , "NET_CHANGE", A396)</f>
        <v>0.75</v>
      </c>
      <c r="F396">
        <f>RTD("tos.rtd", , "BID", A396)</f>
        <v>190.53</v>
      </c>
      <c r="G396">
        <f>RTD("tos.rtd", , "ASK", A396)</f>
        <v>200</v>
      </c>
      <c r="H396">
        <f>RTD("tos.rtd", , "BID_SIZE", A396)</f>
        <v>1</v>
      </c>
      <c r="I396">
        <f>RTD("tos.rtd", , "ASK_SIZE", A396)</f>
        <v>20</v>
      </c>
      <c r="J396">
        <f>RTD("tos.rtd", , "VOLUME", A396)</f>
        <v>1265031</v>
      </c>
      <c r="K396">
        <f>RTD("tos.rtd", , "OPEN", A396)</f>
        <v>193.03</v>
      </c>
      <c r="L396">
        <f>RTD("tos.rtd", , "HIGH",A396)</f>
        <v>196.99</v>
      </c>
      <c r="M396">
        <f>RTD("tos.rtd", , "LOW", A396)</f>
        <v>193.03</v>
      </c>
      <c r="N396">
        <f>RTD("tos.rtd", , "52HIGH", A396)</f>
        <v>210.72</v>
      </c>
      <c r="O396">
        <f>RTD("tos.rtd", , "52LOW", A396)</f>
        <v>129.65950000000001</v>
      </c>
      <c r="P396">
        <f>RTD("tos.rtd", , "Mark", A396)</f>
        <v>194.36</v>
      </c>
    </row>
    <row r="397" spans="1:16" x14ac:dyDescent="0.25">
      <c r="A397" t="s">
        <v>409</v>
      </c>
      <c r="B397">
        <f>RTD("tos.rtd", , "Last", A397)</f>
        <v>256.33999999999997</v>
      </c>
      <c r="C397" t="str">
        <f>RTD("tos.rtd", , "STRENGTH_METER", A397)</f>
        <v>Range Bound</v>
      </c>
      <c r="D397" t="str">
        <f>RTD("tos.rtd", , "QUOTE_TREND", A397)</f>
        <v>instrument=ROP</v>
      </c>
      <c r="E397">
        <f>RTD("tos.rtd", , "NET_CHANGE", A397)</f>
        <v>-0.16</v>
      </c>
      <c r="F397">
        <f>RTD("tos.rtd", , "BID", A397)</f>
        <v>200</v>
      </c>
      <c r="G397">
        <f>RTD("tos.rtd", , "ASK", A397)</f>
        <v>256.35000000000002</v>
      </c>
      <c r="H397">
        <f>RTD("tos.rtd", , "BID_SIZE", A397)</f>
        <v>1</v>
      </c>
      <c r="I397">
        <f>RTD("tos.rtd", , "ASK_SIZE", A397)</f>
        <v>0</v>
      </c>
      <c r="J397">
        <f>RTD("tos.rtd", , "VOLUME", A397)</f>
        <v>343893</v>
      </c>
      <c r="K397">
        <f>RTD("tos.rtd", , "OPEN", A397)</f>
        <v>255.13</v>
      </c>
      <c r="L397">
        <f>RTD("tos.rtd", , "HIGH",A397)</f>
        <v>257.58</v>
      </c>
      <c r="M397">
        <f>RTD("tos.rtd", , "LOW", A397)</f>
        <v>254.53</v>
      </c>
      <c r="N397">
        <f>RTD("tos.rtd", , "52HIGH", A397)</f>
        <v>261.37</v>
      </c>
      <c r="O397">
        <f>RTD("tos.rtd", , "52LOW", A397)</f>
        <v>179.96</v>
      </c>
      <c r="P397">
        <f>RTD("tos.rtd", , "Mark", A397)</f>
        <v>256.33999999999997</v>
      </c>
    </row>
    <row r="398" spans="1:16" x14ac:dyDescent="0.25">
      <c r="A398" t="s">
        <v>410</v>
      </c>
      <c r="B398">
        <f>RTD("tos.rtd", , "Last", A398)</f>
        <v>72.25</v>
      </c>
      <c r="C398" t="str">
        <f>RTD("tos.rtd", , "STRENGTH_METER", A398)</f>
        <v>Uptrend</v>
      </c>
      <c r="D398" t="str">
        <f>RTD("tos.rtd", , "QUOTE_TREND", A398)</f>
        <v>instrument=ROST</v>
      </c>
      <c r="E398">
        <f>RTD("tos.rtd", , "NET_CHANGE", A398)</f>
        <v>6.56</v>
      </c>
      <c r="F398">
        <f>RTD("tos.rtd", , "BID", A398)</f>
        <v>71.75</v>
      </c>
      <c r="G398">
        <f>RTD("tos.rtd", , "ASK", A398)</f>
        <v>72.2</v>
      </c>
      <c r="H398">
        <f>RTD("tos.rtd", , "BID_SIZE", A398)</f>
        <v>5</v>
      </c>
      <c r="I398">
        <f>RTD("tos.rtd", , "ASK_SIZE", A398)</f>
        <v>5</v>
      </c>
      <c r="J398">
        <f>RTD("tos.rtd", , "VOLUME", A398)</f>
        <v>8189786</v>
      </c>
      <c r="K398">
        <f>RTD("tos.rtd", , "OPEN", A398)</f>
        <v>72.13</v>
      </c>
      <c r="L398">
        <f>RTD("tos.rtd", , "HIGH",A398)</f>
        <v>73.94</v>
      </c>
      <c r="M398">
        <f>RTD("tos.rtd", , "LOW", A398)</f>
        <v>71.02</v>
      </c>
      <c r="N398">
        <f>RTD("tos.rtd", , "52HIGH", A398)</f>
        <v>69.81</v>
      </c>
      <c r="O398">
        <f>RTD("tos.rtd", , "52LOW", A398)</f>
        <v>52.85</v>
      </c>
      <c r="P398">
        <f>RTD("tos.rtd", , "Mark", A398)</f>
        <v>72.2</v>
      </c>
    </row>
    <row r="399" spans="1:16" x14ac:dyDescent="0.25">
      <c r="A399" t="s">
        <v>411</v>
      </c>
      <c r="B399">
        <f>RTD("tos.rtd", , "Last", A399)</f>
        <v>18.03</v>
      </c>
      <c r="C399" t="str">
        <f>RTD("tos.rtd", , "STRENGTH_METER", A399)</f>
        <v>Range Bound</v>
      </c>
      <c r="D399" t="str">
        <f>RTD("tos.rtd", , "QUOTE_TREND", A399)</f>
        <v>instrument=RRC</v>
      </c>
      <c r="E399">
        <f>RTD("tos.rtd", , "NET_CHANGE", A399)</f>
        <v>0.83</v>
      </c>
      <c r="F399">
        <f>RTD("tos.rtd", , "BID", A399)</f>
        <v>17.97</v>
      </c>
      <c r="G399">
        <f>RTD("tos.rtd", , "ASK", A399)</f>
        <v>18.04</v>
      </c>
      <c r="H399">
        <f>RTD("tos.rtd", , "BID_SIZE", A399)</f>
        <v>1</v>
      </c>
      <c r="I399">
        <f>RTD("tos.rtd", , "ASK_SIZE", A399)</f>
        <v>7</v>
      </c>
      <c r="J399">
        <f>RTD("tos.rtd", , "VOLUME", A399)</f>
        <v>7812341</v>
      </c>
      <c r="K399">
        <f>RTD("tos.rtd", , "OPEN", A399)</f>
        <v>17.32</v>
      </c>
      <c r="L399">
        <f>RTD("tos.rtd", , "HIGH",A399)</f>
        <v>18.059999999999999</v>
      </c>
      <c r="M399">
        <f>RTD("tos.rtd", , "LOW", A399)</f>
        <v>17.29</v>
      </c>
      <c r="N399">
        <f>RTD("tos.rtd", , "52HIGH", A399)</f>
        <v>39.64</v>
      </c>
      <c r="O399">
        <f>RTD("tos.rtd", , "52LOW", A399)</f>
        <v>15.994999999999999</v>
      </c>
      <c r="P399">
        <f>RTD("tos.rtd", , "Mark", A399)</f>
        <v>18.03</v>
      </c>
    </row>
    <row r="400" spans="1:16" x14ac:dyDescent="0.25">
      <c r="A400" t="s">
        <v>412</v>
      </c>
      <c r="B400">
        <f>RTD("tos.rtd", , "Last", A400)</f>
        <v>62.44</v>
      </c>
      <c r="C400" t="str">
        <f>RTD("tos.rtd", , "STRENGTH_METER", A400)</f>
        <v>Range Bound</v>
      </c>
      <c r="D400" t="str">
        <f>RTD("tos.rtd", , "QUOTE_TREND", A400)</f>
        <v>instrument=RSG</v>
      </c>
      <c r="E400">
        <f>RTD("tos.rtd", , "NET_CHANGE", A400)</f>
        <v>-0.8</v>
      </c>
      <c r="F400">
        <f>RTD("tos.rtd", , "BID", A400)</f>
        <v>62.2</v>
      </c>
      <c r="G400">
        <f>RTD("tos.rtd", , "ASK", A400)</f>
        <v>64.42</v>
      </c>
      <c r="H400">
        <f>RTD("tos.rtd", , "BID_SIZE", A400)</f>
        <v>1</v>
      </c>
      <c r="I400">
        <f>RTD("tos.rtd", , "ASK_SIZE", A400)</f>
        <v>0</v>
      </c>
      <c r="J400">
        <f>RTD("tos.rtd", , "VOLUME", A400)</f>
        <v>819637</v>
      </c>
      <c r="K400">
        <f>RTD("tos.rtd", , "OPEN", A400)</f>
        <v>62.99</v>
      </c>
      <c r="L400">
        <f>RTD("tos.rtd", , "HIGH",A400)</f>
        <v>63.12</v>
      </c>
      <c r="M400">
        <f>RTD("tos.rtd", , "LOW", A400)</f>
        <v>62.44</v>
      </c>
      <c r="N400">
        <f>RTD("tos.rtd", , "52HIGH", A400)</f>
        <v>67.180000000000007</v>
      </c>
      <c r="O400">
        <f>RTD("tos.rtd", , "52LOW", A400)</f>
        <v>54.37</v>
      </c>
      <c r="P400">
        <f>RTD("tos.rtd", , "Mark", A400)</f>
        <v>62.44</v>
      </c>
    </row>
    <row r="401" spans="1:16" x14ac:dyDescent="0.25">
      <c r="A401" t="s">
        <v>413</v>
      </c>
      <c r="B401">
        <f>RTD("tos.rtd", , "Last", A401)</f>
        <v>182.85</v>
      </c>
      <c r="C401" t="str">
        <f>RTD("tos.rtd", , "STRENGTH_METER", A401)</f>
        <v>Range Bound</v>
      </c>
      <c r="D401" t="str">
        <f>RTD("tos.rtd", , "QUOTE_TREND", A401)</f>
        <v>instrument=RTN</v>
      </c>
      <c r="E401">
        <f>RTD("tos.rtd", , "NET_CHANGE", A401)</f>
        <v>-1.42</v>
      </c>
      <c r="F401">
        <f>RTD("tos.rtd", , "BID", A401)</f>
        <v>182</v>
      </c>
      <c r="G401">
        <f>RTD("tos.rtd", , "ASK", A401)</f>
        <v>184</v>
      </c>
      <c r="H401">
        <f>RTD("tos.rtd", , "BID_SIZE", A401)</f>
        <v>7</v>
      </c>
      <c r="I401">
        <f>RTD("tos.rtd", , "ASK_SIZE", A401)</f>
        <v>2</v>
      </c>
      <c r="J401">
        <f>RTD("tos.rtd", , "VOLUME", A401)</f>
        <v>997122</v>
      </c>
      <c r="K401">
        <f>RTD("tos.rtd", , "OPEN", A401)</f>
        <v>183.65</v>
      </c>
      <c r="L401">
        <f>RTD("tos.rtd", , "HIGH",A401)</f>
        <v>184.07</v>
      </c>
      <c r="M401">
        <f>RTD("tos.rtd", , "LOW", A401)</f>
        <v>182.81</v>
      </c>
      <c r="N401">
        <f>RTD("tos.rtd", , "52HIGH", A401)</f>
        <v>190.25</v>
      </c>
      <c r="O401">
        <f>RTD("tos.rtd", , "52LOW", A401)</f>
        <v>137.69999999999999</v>
      </c>
      <c r="P401">
        <f>RTD("tos.rtd", , "Mark", A401)</f>
        <v>182.85</v>
      </c>
    </row>
    <row r="402" spans="1:16" x14ac:dyDescent="0.25">
      <c r="A402" t="s">
        <v>414</v>
      </c>
      <c r="B402">
        <f>RTD("tos.rtd", , "Last", A402)</f>
        <v>6.23</v>
      </c>
      <c r="C402" t="str">
        <f>RTD("tos.rtd", , "STRENGTH_METER", A402)</f>
        <v>Downtrend</v>
      </c>
      <c r="D402" t="str">
        <f>RTD("tos.rtd", , "QUOTE_TREND", A402)</f>
        <v>instrument=S</v>
      </c>
      <c r="E402">
        <f>RTD("tos.rtd", , "NET_CHANGE", A402)</f>
        <v>-0.02</v>
      </c>
      <c r="F402">
        <f>RTD("tos.rtd", , "BID", A402)</f>
        <v>6.2</v>
      </c>
      <c r="G402">
        <f>RTD("tos.rtd", , "ASK", A402)</f>
        <v>6.21</v>
      </c>
      <c r="H402">
        <f>RTD("tos.rtd", , "BID_SIZE", A402)</f>
        <v>6</v>
      </c>
      <c r="I402">
        <f>RTD("tos.rtd", , "ASK_SIZE", A402)</f>
        <v>1</v>
      </c>
      <c r="J402">
        <f>RTD("tos.rtd", , "VOLUME", A402)</f>
        <v>8489130</v>
      </c>
      <c r="K402">
        <f>RTD("tos.rtd", , "OPEN", A402)</f>
        <v>6.2</v>
      </c>
      <c r="L402">
        <f>RTD("tos.rtd", , "HIGH",A402)</f>
        <v>6.27</v>
      </c>
      <c r="M402">
        <f>RTD("tos.rtd", , "LOW", A402)</f>
        <v>6.18</v>
      </c>
      <c r="N402">
        <f>RTD("tos.rtd", , "52HIGH", A402)</f>
        <v>9.65</v>
      </c>
      <c r="O402">
        <f>RTD("tos.rtd", , "52LOW", A402)</f>
        <v>5.62</v>
      </c>
      <c r="P402">
        <f>RTD("tos.rtd", , "Mark", A402)</f>
        <v>6.21</v>
      </c>
    </row>
    <row r="403" spans="1:16" x14ac:dyDescent="0.25">
      <c r="A403" t="s">
        <v>415</v>
      </c>
      <c r="B403" t="str">
        <f>RTD("tos.rtd", , "Last", A403)</f>
        <v>N/A</v>
      </c>
      <c r="C403" t="str">
        <f>RTD("tos.rtd", , "STRENGTH_METER", A403)</f>
        <v>N/A</v>
      </c>
      <c r="D403" t="str">
        <f>RTD("tos.rtd", , "QUOTE_TREND", A403)</f>
        <v>instrument=SAI</v>
      </c>
      <c r="E403" t="str">
        <f>RTD("tos.rtd", , "NET_CHANGE", A403)</f>
        <v>N/A</v>
      </c>
      <c r="F403" t="str">
        <f>RTD("tos.rtd", , "BID", A403)</f>
        <v>N/A</v>
      </c>
      <c r="G403" t="str">
        <f>RTD("tos.rtd", , "ASK", A403)</f>
        <v>N/A</v>
      </c>
      <c r="H403">
        <f>RTD("tos.rtd", , "BID_SIZE", A403)</f>
        <v>0</v>
      </c>
      <c r="I403">
        <f>RTD("tos.rtd", , "ASK_SIZE", A403)</f>
        <v>0</v>
      </c>
      <c r="J403" t="str">
        <f>RTD("tos.rtd", , "VOLUME", A403)</f>
        <v>N/A</v>
      </c>
      <c r="K403" t="str">
        <f>RTD("tos.rtd", , "OPEN", A403)</f>
        <v>N/A</v>
      </c>
      <c r="L403" t="str">
        <f>RTD("tos.rtd", , "HIGH",A403)</f>
        <v>N/A</v>
      </c>
      <c r="M403" t="str">
        <f>RTD("tos.rtd", , "LOW", A403)</f>
        <v>N/A</v>
      </c>
      <c r="N403" t="str">
        <f>RTD("tos.rtd", , "52HIGH", A403)</f>
        <v>N/A</v>
      </c>
      <c r="O403" t="str">
        <f>RTD("tos.rtd", , "52LOW", A403)</f>
        <v>N/A</v>
      </c>
      <c r="P403" t="str">
        <f>RTD("tos.rtd", , "Mark", A403)</f>
        <v>N/A</v>
      </c>
    </row>
    <row r="404" spans="1:16" x14ac:dyDescent="0.25">
      <c r="A404" t="s">
        <v>416</v>
      </c>
      <c r="B404">
        <f>RTD("tos.rtd", , "Last", A404)</f>
        <v>56.93</v>
      </c>
      <c r="C404" t="str">
        <f>RTD("tos.rtd", , "STRENGTH_METER", A404)</f>
        <v>Range Bound</v>
      </c>
      <c r="D404" t="str">
        <f>RTD("tos.rtd", , "QUOTE_TREND", A404)</f>
        <v>instrument=SBUX</v>
      </c>
      <c r="E404">
        <f>RTD("tos.rtd", , "NET_CHANGE", A404)</f>
        <v>-0.31</v>
      </c>
      <c r="F404">
        <f>RTD("tos.rtd", , "BID", A404)</f>
        <v>56.83</v>
      </c>
      <c r="G404">
        <f>RTD("tos.rtd", , "ASK", A404)</f>
        <v>56.96</v>
      </c>
      <c r="H404">
        <f>RTD("tos.rtd", , "BID_SIZE", A404)</f>
        <v>10</v>
      </c>
      <c r="I404">
        <f>RTD("tos.rtd", , "ASK_SIZE", A404)</f>
        <v>1</v>
      </c>
      <c r="J404">
        <f>RTD("tos.rtd", , "VOLUME", A404)</f>
        <v>6302619</v>
      </c>
      <c r="K404">
        <f>RTD("tos.rtd", , "OPEN", A404)</f>
        <v>57.24</v>
      </c>
      <c r="L404">
        <f>RTD("tos.rtd", , "HIGH",A404)</f>
        <v>57.43</v>
      </c>
      <c r="M404">
        <f>RTD("tos.rtd", , "LOW", A404)</f>
        <v>56.84</v>
      </c>
      <c r="N404">
        <f>RTD("tos.rtd", , "52HIGH", A404)</f>
        <v>64.87</v>
      </c>
      <c r="O404">
        <f>RTD("tos.rtd", , "52LOW", A404)</f>
        <v>52.58</v>
      </c>
      <c r="P404">
        <f>RTD("tos.rtd", , "Mark", A404)</f>
        <v>56.93</v>
      </c>
    </row>
    <row r="405" spans="1:16" x14ac:dyDescent="0.25">
      <c r="A405" t="s">
        <v>417</v>
      </c>
      <c r="B405">
        <f>RTD("tos.rtd", , "Last", A405)</f>
        <v>43.45</v>
      </c>
      <c r="C405" t="str">
        <f>RTD("tos.rtd", , "STRENGTH_METER", A405)</f>
        <v>Range Bound</v>
      </c>
      <c r="D405" t="str">
        <f>RTD("tos.rtd", , "QUOTE_TREND", A405)</f>
        <v>instrument=SCG</v>
      </c>
      <c r="E405">
        <f>RTD("tos.rtd", , "NET_CHANGE", A405)</f>
        <v>-1.55</v>
      </c>
      <c r="F405">
        <f>RTD("tos.rtd", , "BID", A405)</f>
        <v>43.05</v>
      </c>
      <c r="G405">
        <f>RTD("tos.rtd", , "ASK", A405)</f>
        <v>46</v>
      </c>
      <c r="H405">
        <f>RTD("tos.rtd", , "BID_SIZE", A405)</f>
        <v>1</v>
      </c>
      <c r="I405">
        <f>RTD("tos.rtd", , "ASK_SIZE", A405)</f>
        <v>1</v>
      </c>
      <c r="J405">
        <f>RTD("tos.rtd", , "VOLUME", A405)</f>
        <v>3149576</v>
      </c>
      <c r="K405">
        <f>RTD("tos.rtd", , "OPEN", A405)</f>
        <v>44.87</v>
      </c>
      <c r="L405">
        <f>RTD("tos.rtd", , "HIGH",A405)</f>
        <v>45.11</v>
      </c>
      <c r="M405">
        <f>RTD("tos.rtd", , "LOW", A405)</f>
        <v>43.35</v>
      </c>
      <c r="N405">
        <f>RTD("tos.rtd", , "52HIGH", A405)</f>
        <v>74.989999999999995</v>
      </c>
      <c r="O405">
        <f>RTD("tos.rtd", , "52LOW", A405)</f>
        <v>41.15</v>
      </c>
      <c r="P405">
        <f>RTD("tos.rtd", , "Mark", A405)</f>
        <v>43.45</v>
      </c>
    </row>
    <row r="406" spans="1:16" x14ac:dyDescent="0.25">
      <c r="A406" t="s">
        <v>418</v>
      </c>
      <c r="B406">
        <f>RTD("tos.rtd", , "Last", A406)</f>
        <v>44.68</v>
      </c>
      <c r="C406" t="str">
        <f>RTD("tos.rtd", , "STRENGTH_METER", A406)</f>
        <v>Range Bound</v>
      </c>
      <c r="D406" t="str">
        <f>RTD("tos.rtd", , "QUOTE_TREND", A406)</f>
        <v>instrument=SCHW</v>
      </c>
      <c r="E406">
        <f>RTD("tos.rtd", , "NET_CHANGE", A406)</f>
        <v>0.04</v>
      </c>
      <c r="F406">
        <f>RTD("tos.rtd", , "BID", A406)</f>
        <v>44.54</v>
      </c>
      <c r="G406">
        <f>RTD("tos.rtd", , "ASK", A406)</f>
        <v>44.71</v>
      </c>
      <c r="H406">
        <f>RTD("tos.rtd", , "BID_SIZE", A406)</f>
        <v>1</v>
      </c>
      <c r="I406">
        <f>RTD("tos.rtd", , "ASK_SIZE", A406)</f>
        <v>1</v>
      </c>
      <c r="J406">
        <f>RTD("tos.rtd", , "VOLUME", A406)</f>
        <v>4264762</v>
      </c>
      <c r="K406">
        <f>RTD("tos.rtd", , "OPEN", A406)</f>
        <v>44.33</v>
      </c>
      <c r="L406">
        <f>RTD("tos.rtd", , "HIGH",A406)</f>
        <v>44.86</v>
      </c>
      <c r="M406">
        <f>RTD("tos.rtd", , "LOW", A406)</f>
        <v>44.18</v>
      </c>
      <c r="N406">
        <f>RTD("tos.rtd", , "52HIGH", A406)</f>
        <v>46.21</v>
      </c>
      <c r="O406">
        <f>RTD("tos.rtd", , "52LOW", A406)</f>
        <v>36.35</v>
      </c>
      <c r="P406">
        <f>RTD("tos.rtd", , "Mark", A406)</f>
        <v>44.68</v>
      </c>
    </row>
    <row r="407" spans="1:16" x14ac:dyDescent="0.25">
      <c r="A407" t="s">
        <v>419</v>
      </c>
      <c r="B407">
        <f>RTD("tos.rtd", , "Last", A407)</f>
        <v>15</v>
      </c>
      <c r="C407" t="str">
        <f>RTD("tos.rtd", , "STRENGTH_METER", A407)</f>
        <v>Range Bound</v>
      </c>
      <c r="D407" t="str">
        <f>RTD("tos.rtd", , "QUOTE_TREND", A407)</f>
        <v>instrument=SE</v>
      </c>
      <c r="E407">
        <f>RTD("tos.rtd", , "NET_CHANGE", A407)</f>
        <v>-0.03</v>
      </c>
      <c r="F407">
        <f>RTD("tos.rtd", , "BID", A407)</f>
        <v>14.65</v>
      </c>
      <c r="G407">
        <f>RTD("tos.rtd", , "ASK", A407)</f>
        <v>15.38</v>
      </c>
      <c r="H407">
        <f>RTD("tos.rtd", , "BID_SIZE", A407)</f>
        <v>2</v>
      </c>
      <c r="I407">
        <f>RTD("tos.rtd", , "ASK_SIZE", A407)</f>
        <v>2</v>
      </c>
      <c r="J407">
        <f>RTD("tos.rtd", , "VOLUME", A407)</f>
        <v>1253294</v>
      </c>
      <c r="K407">
        <f>RTD("tos.rtd", , "OPEN", A407)</f>
        <v>15</v>
      </c>
      <c r="L407">
        <f>RTD("tos.rtd", , "HIGH",A407)</f>
        <v>15.62</v>
      </c>
      <c r="M407">
        <f>RTD("tos.rtd", , "LOW", A407)</f>
        <v>15</v>
      </c>
      <c r="N407">
        <f>RTD("tos.rtd", , "52HIGH", A407)</f>
        <v>16.989999999999998</v>
      </c>
      <c r="O407">
        <f>RTD("tos.rtd", , "52LOW", A407)</f>
        <v>13.62</v>
      </c>
      <c r="P407">
        <f>RTD("tos.rtd", , "Mark", A407)</f>
        <v>15</v>
      </c>
    </row>
    <row r="408" spans="1:16" x14ac:dyDescent="0.25">
      <c r="A408" t="s">
        <v>420</v>
      </c>
      <c r="B408">
        <f>RTD("tos.rtd", , "Last", A408)</f>
        <v>45.72</v>
      </c>
      <c r="C408" t="str">
        <f>RTD("tos.rtd", , "STRENGTH_METER", A408)</f>
        <v>Range Bound</v>
      </c>
      <c r="D408" t="str">
        <f>RTD("tos.rtd", , "QUOTE_TREND", A408)</f>
        <v>instrument=SEE</v>
      </c>
      <c r="E408">
        <f>RTD("tos.rtd", , "NET_CHANGE", A408)</f>
        <v>0.14000000000000001</v>
      </c>
      <c r="F408">
        <f>RTD("tos.rtd", , "BID", A408)</f>
        <v>45.59</v>
      </c>
      <c r="G408">
        <f>RTD("tos.rtd", , "ASK", A408)</f>
        <v>45.73</v>
      </c>
      <c r="H408">
        <f>RTD("tos.rtd", , "BID_SIZE", A408)</f>
        <v>1</v>
      </c>
      <c r="I408">
        <f>RTD("tos.rtd", , "ASK_SIZE", A408)</f>
        <v>1</v>
      </c>
      <c r="J408">
        <f>RTD("tos.rtd", , "VOLUME", A408)</f>
        <v>1469198</v>
      </c>
      <c r="K408">
        <f>RTD("tos.rtd", , "OPEN", A408)</f>
        <v>45.45</v>
      </c>
      <c r="L408">
        <f>RTD("tos.rtd", , "HIGH",A408)</f>
        <v>45.83</v>
      </c>
      <c r="M408">
        <f>RTD("tos.rtd", , "LOW", A408)</f>
        <v>45.25</v>
      </c>
      <c r="N408">
        <f>RTD("tos.rtd", , "52HIGH", A408)</f>
        <v>50.62</v>
      </c>
      <c r="O408">
        <f>RTD("tos.rtd", , "52LOW", A408)</f>
        <v>41.22</v>
      </c>
      <c r="P408">
        <f>RTD("tos.rtd", , "Mark", A408)</f>
        <v>45.72</v>
      </c>
    </row>
    <row r="409" spans="1:16" x14ac:dyDescent="0.25">
      <c r="A409" t="s">
        <v>421</v>
      </c>
      <c r="B409">
        <f>RTD("tos.rtd", , "Last", A409)</f>
        <v>386.98</v>
      </c>
      <c r="C409" t="str">
        <f>RTD("tos.rtd", , "STRENGTH_METER", A409)</f>
        <v>Range Bound</v>
      </c>
      <c r="D409" t="str">
        <f>RTD("tos.rtd", , "QUOTE_TREND", A409)</f>
        <v>instrument=SHW</v>
      </c>
      <c r="E409">
        <f>RTD("tos.rtd", , "NET_CHANGE", A409)</f>
        <v>-1.05</v>
      </c>
      <c r="F409">
        <f>RTD("tos.rtd", , "BID", A409)</f>
        <v>318.3</v>
      </c>
      <c r="G409">
        <f>RTD("tos.rtd", , "ASK", A409)</f>
        <v>396.56</v>
      </c>
      <c r="H409">
        <f>RTD("tos.rtd", , "BID_SIZE", A409)</f>
        <v>1</v>
      </c>
      <c r="I409">
        <f>RTD("tos.rtd", , "ASK_SIZE", A409)</f>
        <v>1</v>
      </c>
      <c r="J409">
        <f>RTD("tos.rtd", , "VOLUME", A409)</f>
        <v>309172</v>
      </c>
      <c r="K409">
        <f>RTD("tos.rtd", , "OPEN", A409)</f>
        <v>386.45</v>
      </c>
      <c r="L409">
        <f>RTD("tos.rtd", , "HIGH",A409)</f>
        <v>388.31</v>
      </c>
      <c r="M409">
        <f>RTD("tos.rtd", , "LOW", A409)</f>
        <v>385.61</v>
      </c>
      <c r="N409">
        <f>RTD("tos.rtd", , "52HIGH", A409)</f>
        <v>398.22</v>
      </c>
      <c r="O409">
        <f>RTD("tos.rtd", , "52LOW", A409)</f>
        <v>260</v>
      </c>
      <c r="P409">
        <f>RTD("tos.rtd", , "Mark", A409)</f>
        <v>386.98</v>
      </c>
    </row>
    <row r="410" spans="1:16" x14ac:dyDescent="0.25">
      <c r="A410" t="s">
        <v>422</v>
      </c>
      <c r="B410">
        <f>RTD("tos.rtd", , "Last", A410)</f>
        <v>0</v>
      </c>
      <c r="C410" t="str">
        <f>RTD("tos.rtd", , "STRENGTH_METER", A410)</f>
        <v>N/A</v>
      </c>
      <c r="D410" t="str">
        <f>RTD("tos.rtd", , "QUOTE_TREND", A410)</f>
        <v>instrument=SIAL</v>
      </c>
      <c r="E410">
        <f>RTD("tos.rtd", , "NET_CHANGE", A410)</f>
        <v>0</v>
      </c>
      <c r="F410">
        <f>RTD("tos.rtd", , "BID", A410)</f>
        <v>139.97</v>
      </c>
      <c r="G410">
        <f>RTD("tos.rtd", , "ASK", A410)</f>
        <v>139.97999999999999</v>
      </c>
      <c r="H410">
        <f>RTD("tos.rtd", , "BID_SIZE", A410)</f>
        <v>0</v>
      </c>
      <c r="I410">
        <f>RTD("tos.rtd", , "ASK_SIZE", A410)</f>
        <v>0</v>
      </c>
      <c r="J410">
        <f>RTD("tos.rtd", , "VOLUME", A410)</f>
        <v>0</v>
      </c>
      <c r="K410">
        <f>RTD("tos.rtd", , "OPEN", A410)</f>
        <v>0</v>
      </c>
      <c r="L410">
        <f>RTD("tos.rtd", , "HIGH",A410)</f>
        <v>0</v>
      </c>
      <c r="M410">
        <f>RTD("tos.rtd", , "LOW", A410)</f>
        <v>0</v>
      </c>
      <c r="N410">
        <f>RTD("tos.rtd", , "52HIGH", A410)</f>
        <v>140.03</v>
      </c>
      <c r="O410">
        <f>RTD("tos.rtd", , "52LOW", A410)</f>
        <v>135.33000000000001</v>
      </c>
      <c r="P410">
        <f>RTD("tos.rtd", , "Mark", A410)</f>
        <v>139.97</v>
      </c>
    </row>
    <row r="411" spans="1:16" x14ac:dyDescent="0.25">
      <c r="A411" t="s">
        <v>423</v>
      </c>
      <c r="B411">
        <f>RTD("tos.rtd", , "Last", A411)</f>
        <v>114.19</v>
      </c>
      <c r="C411" t="str">
        <f>RTD("tos.rtd", , "STRENGTH_METER", A411)</f>
        <v>Range Bound</v>
      </c>
      <c r="D411" t="str">
        <f>RTD("tos.rtd", , "QUOTE_TREND", A411)</f>
        <v>instrument=SJM</v>
      </c>
      <c r="E411">
        <f>RTD("tos.rtd", , "NET_CHANGE", A411)</f>
        <v>-2.46</v>
      </c>
      <c r="F411">
        <f>RTD("tos.rtd", , "BID", A411)</f>
        <v>112.56</v>
      </c>
      <c r="G411">
        <f>RTD("tos.rtd", , "ASK", A411)</f>
        <v>114.34</v>
      </c>
      <c r="H411">
        <f>RTD("tos.rtd", , "BID_SIZE", A411)</f>
        <v>2</v>
      </c>
      <c r="I411">
        <f>RTD("tos.rtd", , "ASK_SIZE", A411)</f>
        <v>1</v>
      </c>
      <c r="J411">
        <f>RTD("tos.rtd", , "VOLUME", A411)</f>
        <v>1415807</v>
      </c>
      <c r="K411">
        <f>RTD("tos.rtd", , "OPEN", A411)</f>
        <v>116</v>
      </c>
      <c r="L411">
        <f>RTD("tos.rtd", , "HIGH",A411)</f>
        <v>117.13</v>
      </c>
      <c r="M411">
        <f>RTD("tos.rtd", , "LOW", A411)</f>
        <v>113.24</v>
      </c>
      <c r="N411">
        <f>RTD("tos.rtd", , "52HIGH", A411)</f>
        <v>143.68</v>
      </c>
      <c r="O411">
        <f>RTD("tos.rtd", , "52LOW", A411)</f>
        <v>99.564999999999998</v>
      </c>
      <c r="P411">
        <f>RTD("tos.rtd", , "Mark", A411)</f>
        <v>114.19</v>
      </c>
    </row>
    <row r="412" spans="1:16" x14ac:dyDescent="0.25">
      <c r="A412" t="s">
        <v>424</v>
      </c>
      <c r="B412">
        <f>RTD("tos.rtd", , "Last", A412)</f>
        <v>61.96</v>
      </c>
      <c r="C412" t="str">
        <f>RTD("tos.rtd", , "STRENGTH_METER", A412)</f>
        <v>Range Bound</v>
      </c>
      <c r="D412" t="str">
        <f>RTD("tos.rtd", , "QUOTE_TREND", A412)</f>
        <v>instrument=SLB</v>
      </c>
      <c r="E412">
        <f>RTD("tos.rtd", , "NET_CHANGE", A412)</f>
        <v>0.65</v>
      </c>
      <c r="F412">
        <f>RTD("tos.rtd", , "BID", A412)</f>
        <v>61.85</v>
      </c>
      <c r="G412">
        <f>RTD("tos.rtd", , "ASK", A412)</f>
        <v>62.04</v>
      </c>
      <c r="H412">
        <f>RTD("tos.rtd", , "BID_SIZE", A412)</f>
        <v>1</v>
      </c>
      <c r="I412">
        <f>RTD("tos.rtd", , "ASK_SIZE", A412)</f>
        <v>1</v>
      </c>
      <c r="J412">
        <f>RTD("tos.rtd", , "VOLUME", A412)</f>
        <v>7583297</v>
      </c>
      <c r="K412">
        <f>RTD("tos.rtd", , "OPEN", A412)</f>
        <v>61.36</v>
      </c>
      <c r="L412">
        <f>RTD("tos.rtd", , "HIGH",A412)</f>
        <v>62.325000000000003</v>
      </c>
      <c r="M412">
        <f>RTD("tos.rtd", , "LOW", A412)</f>
        <v>61.26</v>
      </c>
      <c r="N412">
        <f>RTD("tos.rtd", , "52HIGH", A412)</f>
        <v>87.84</v>
      </c>
      <c r="O412">
        <f>RTD("tos.rtd", , "52LOW", A412)</f>
        <v>61.02</v>
      </c>
      <c r="P412">
        <f>RTD("tos.rtd", , "Mark", A412)</f>
        <v>61.96</v>
      </c>
    </row>
    <row r="413" spans="1:16" x14ac:dyDescent="0.25">
      <c r="A413" t="s">
        <v>425</v>
      </c>
      <c r="B413">
        <f>RTD("tos.rtd", , "Last", A413)</f>
        <v>10.33</v>
      </c>
      <c r="C413" t="str">
        <f>RTD("tos.rtd", , "STRENGTH_METER", A413)</f>
        <v>Range Bound</v>
      </c>
      <c r="D413" t="str">
        <f>RTD("tos.rtd", , "QUOTE_TREND", A413)</f>
        <v>instrument=SLM</v>
      </c>
      <c r="E413">
        <f>RTD("tos.rtd", , "NET_CHANGE", A413)</f>
        <v>-0.03</v>
      </c>
      <c r="F413">
        <f>RTD("tos.rtd", , "BID", A413)</f>
        <v>10</v>
      </c>
      <c r="G413">
        <f>RTD("tos.rtd", , "ASK", A413)</f>
        <v>10.35</v>
      </c>
      <c r="H413">
        <f>RTD("tos.rtd", , "BID_SIZE", A413)</f>
        <v>4</v>
      </c>
      <c r="I413">
        <f>RTD("tos.rtd", , "ASK_SIZE", A413)</f>
        <v>7</v>
      </c>
      <c r="J413">
        <f>RTD("tos.rtd", , "VOLUME", A413)</f>
        <v>1723700</v>
      </c>
      <c r="K413">
        <f>RTD("tos.rtd", , "OPEN", A413)</f>
        <v>10.37</v>
      </c>
      <c r="L413">
        <f>RTD("tos.rtd", , "HIGH",A413)</f>
        <v>10.45</v>
      </c>
      <c r="M413">
        <f>RTD("tos.rtd", , "LOW", A413)</f>
        <v>10.29</v>
      </c>
      <c r="N413">
        <f>RTD("tos.rtd", , "52HIGH", A413)</f>
        <v>13.2</v>
      </c>
      <c r="O413">
        <f>RTD("tos.rtd", , "52LOW", A413)</f>
        <v>9.2899999999999991</v>
      </c>
      <c r="P413">
        <f>RTD("tos.rtd", , "Mark", A413)</f>
        <v>10.33</v>
      </c>
    </row>
    <row r="414" spans="1:16" x14ac:dyDescent="0.25">
      <c r="A414" t="s">
        <v>426</v>
      </c>
      <c r="B414">
        <f>RTD("tos.rtd", , "Last", A414)</f>
        <v>157.02000000000001</v>
      </c>
      <c r="C414" t="str">
        <f>RTD("tos.rtd", , "STRENGTH_METER", A414)</f>
        <v>Range Bound</v>
      </c>
      <c r="D414" t="str">
        <f>RTD("tos.rtd", , "QUOTE_TREND", A414)</f>
        <v>instrument=SNA</v>
      </c>
      <c r="E414">
        <f>RTD("tos.rtd", , "NET_CHANGE", A414)</f>
        <v>-0.05</v>
      </c>
      <c r="F414">
        <f>RTD("tos.rtd", , "BID", A414)</f>
        <v>148.04</v>
      </c>
      <c r="G414">
        <f>RTD("tos.rtd", , "ASK", A414)</f>
        <v>163.97</v>
      </c>
      <c r="H414">
        <f>RTD("tos.rtd", , "BID_SIZE", A414)</f>
        <v>1</v>
      </c>
      <c r="I414">
        <f>RTD("tos.rtd", , "ASK_SIZE", A414)</f>
        <v>1</v>
      </c>
      <c r="J414">
        <f>RTD("tos.rtd", , "VOLUME", A414)</f>
        <v>331816</v>
      </c>
      <c r="K414">
        <f>RTD("tos.rtd", , "OPEN", A414)</f>
        <v>156.57</v>
      </c>
      <c r="L414">
        <f>RTD("tos.rtd", , "HIGH",A414)</f>
        <v>157.74</v>
      </c>
      <c r="M414">
        <f>RTD("tos.rtd", , "LOW", A414)</f>
        <v>156.57</v>
      </c>
      <c r="N414">
        <f>RTD("tos.rtd", , "52HIGH", A414)</f>
        <v>181.73</v>
      </c>
      <c r="O414">
        <f>RTD("tos.rtd", , "52LOW", A414)</f>
        <v>140.83000000000001</v>
      </c>
      <c r="P414">
        <f>RTD("tos.rtd", , "Mark", A414)</f>
        <v>157.02000000000001</v>
      </c>
    </row>
    <row r="415" spans="1:16" x14ac:dyDescent="0.25">
      <c r="A415" t="s">
        <v>427</v>
      </c>
      <c r="B415">
        <f>RTD("tos.rtd", , "Last", A415)</f>
        <v>0</v>
      </c>
      <c r="C415" t="str">
        <f>RTD("tos.rtd", , "STRENGTH_METER", A415)</f>
        <v>N/A</v>
      </c>
      <c r="D415" t="str">
        <f>RTD("tos.rtd", , "QUOTE_TREND", A415)</f>
        <v>instrument=SNDK</v>
      </c>
      <c r="E415">
        <f>RTD("tos.rtd", , "NET_CHANGE", A415)</f>
        <v>0</v>
      </c>
      <c r="F415">
        <f>RTD("tos.rtd", , "BID", A415)</f>
        <v>76.2</v>
      </c>
      <c r="G415">
        <f>RTD("tos.rtd", , "ASK", A415)</f>
        <v>76.75</v>
      </c>
      <c r="H415">
        <f>RTD("tos.rtd", , "BID_SIZE", A415)</f>
        <v>0</v>
      </c>
      <c r="I415">
        <f>RTD("tos.rtd", , "ASK_SIZE", A415)</f>
        <v>0</v>
      </c>
      <c r="J415">
        <f>RTD("tos.rtd", , "VOLUME", A415)</f>
        <v>0</v>
      </c>
      <c r="K415">
        <f>RTD("tos.rtd", , "OPEN", A415)</f>
        <v>0</v>
      </c>
      <c r="L415">
        <f>RTD("tos.rtd", , "HIGH",A415)</f>
        <v>0</v>
      </c>
      <c r="M415">
        <f>RTD("tos.rtd", , "LOW", A415)</f>
        <v>0</v>
      </c>
      <c r="N415" t="str">
        <f>RTD("tos.rtd", , "52HIGH", A415)</f>
        <v>N/A</v>
      </c>
      <c r="O415" t="str">
        <f>RTD("tos.rtd", , "52LOW", A415)</f>
        <v>N/A</v>
      </c>
      <c r="P415">
        <f>RTD("tos.rtd", , "Mark", A415)</f>
        <v>76.2</v>
      </c>
    </row>
    <row r="416" spans="1:16" x14ac:dyDescent="0.25">
      <c r="A416" t="s">
        <v>428</v>
      </c>
      <c r="B416">
        <f>RTD("tos.rtd", , "Last", A416)</f>
        <v>80.62</v>
      </c>
      <c r="C416" t="str">
        <f>RTD("tos.rtd", , "STRENGTH_METER", A416)</f>
        <v>Range Bound</v>
      </c>
      <c r="D416" t="str">
        <f>RTD("tos.rtd", , "QUOTE_TREND", A416)</f>
        <v>instrument=SNI</v>
      </c>
      <c r="E416">
        <f>RTD("tos.rtd", , "NET_CHANGE", A416)</f>
        <v>0.81</v>
      </c>
      <c r="F416">
        <f>RTD("tos.rtd", , "BID", A416)</f>
        <v>76.680000000000007</v>
      </c>
      <c r="G416">
        <f>RTD("tos.rtd", , "ASK", A416)</f>
        <v>80.760000000000005</v>
      </c>
      <c r="H416">
        <f>RTD("tos.rtd", , "BID_SIZE", A416)</f>
        <v>1</v>
      </c>
      <c r="I416">
        <f>RTD("tos.rtd", , "ASK_SIZE", A416)</f>
        <v>1</v>
      </c>
      <c r="J416">
        <f>RTD("tos.rtd", , "VOLUME", A416)</f>
        <v>1377616</v>
      </c>
      <c r="K416">
        <f>RTD("tos.rtd", , "OPEN", A416)</f>
        <v>79.8</v>
      </c>
      <c r="L416">
        <f>RTD("tos.rtd", , "HIGH",A416)</f>
        <v>81.209999999999994</v>
      </c>
      <c r="M416">
        <f>RTD("tos.rtd", , "LOW", A416)</f>
        <v>79.8</v>
      </c>
      <c r="N416">
        <f>RTD("tos.rtd", , "52HIGH", A416)</f>
        <v>88.45</v>
      </c>
      <c r="O416">
        <f>RTD("tos.rtd", , "52LOW", A416)</f>
        <v>64.87</v>
      </c>
      <c r="P416">
        <f>RTD("tos.rtd", , "Mark", A416)</f>
        <v>80.62</v>
      </c>
    </row>
    <row r="417" spans="1:16" x14ac:dyDescent="0.25">
      <c r="A417" t="s">
        <v>429</v>
      </c>
      <c r="B417">
        <f>RTD("tos.rtd", , "Last", A417)</f>
        <v>50.97</v>
      </c>
      <c r="C417" t="str">
        <f>RTD("tos.rtd", , "STRENGTH_METER", A417)</f>
        <v>Range Bound</v>
      </c>
      <c r="D417" t="str">
        <f>RTD("tos.rtd", , "QUOTE_TREND", A417)</f>
        <v>instrument=SO</v>
      </c>
      <c r="E417">
        <f>RTD("tos.rtd", , "NET_CHANGE", A417)</f>
        <v>-0.39</v>
      </c>
      <c r="F417">
        <f>RTD("tos.rtd", , "BID", A417)</f>
        <v>50.91</v>
      </c>
      <c r="G417">
        <f>RTD("tos.rtd", , "ASK", A417)</f>
        <v>51.03</v>
      </c>
      <c r="H417">
        <f>RTD("tos.rtd", , "BID_SIZE", A417)</f>
        <v>1</v>
      </c>
      <c r="I417">
        <f>RTD("tos.rtd", , "ASK_SIZE", A417)</f>
        <v>1</v>
      </c>
      <c r="J417">
        <f>RTD("tos.rtd", , "VOLUME", A417)</f>
        <v>5386309</v>
      </c>
      <c r="K417">
        <f>RTD("tos.rtd", , "OPEN", A417)</f>
        <v>51.37</v>
      </c>
      <c r="L417">
        <f>RTD("tos.rtd", , "HIGH",A417)</f>
        <v>51.63</v>
      </c>
      <c r="M417">
        <f>RTD("tos.rtd", , "LOW", A417)</f>
        <v>50.95</v>
      </c>
      <c r="N417">
        <f>RTD("tos.rtd", , "52HIGH", A417)</f>
        <v>53.51</v>
      </c>
      <c r="O417">
        <f>RTD("tos.rtd", , "52LOW", A417)</f>
        <v>46.2</v>
      </c>
      <c r="P417">
        <f>RTD("tos.rtd", , "Mark", A417)</f>
        <v>50.97</v>
      </c>
    </row>
    <row r="418" spans="1:16" x14ac:dyDescent="0.25">
      <c r="A418" t="s">
        <v>430</v>
      </c>
      <c r="B418">
        <f>RTD("tos.rtd", , "Last", A418)</f>
        <v>161.94999999999999</v>
      </c>
      <c r="C418" t="str">
        <f>RTD("tos.rtd", , "STRENGTH_METER", A418)</f>
        <v>Range Bound</v>
      </c>
      <c r="D418" t="str">
        <f>RTD("tos.rtd", , "QUOTE_TREND", A418)</f>
        <v>instrument=SPG</v>
      </c>
      <c r="E418">
        <f>RTD("tos.rtd", , "NET_CHANGE", A418)</f>
        <v>2.08</v>
      </c>
      <c r="F418">
        <f>RTD("tos.rtd", , "BID", A418)</f>
        <v>157.91</v>
      </c>
      <c r="G418">
        <f>RTD("tos.rtd", , "ASK", A418)</f>
        <v>162.03</v>
      </c>
      <c r="H418">
        <f>RTD("tos.rtd", , "BID_SIZE", A418)</f>
        <v>5</v>
      </c>
      <c r="I418">
        <f>RTD("tos.rtd", , "ASK_SIZE", A418)</f>
        <v>1</v>
      </c>
      <c r="J418">
        <f>RTD("tos.rtd", , "VOLUME", A418)</f>
        <v>2158624</v>
      </c>
      <c r="K418">
        <f>RTD("tos.rtd", , "OPEN", A418)</f>
        <v>160.5</v>
      </c>
      <c r="L418">
        <f>RTD("tos.rtd", , "HIGH",A418)</f>
        <v>164.17</v>
      </c>
      <c r="M418">
        <f>RTD("tos.rtd", , "LOW", A418)</f>
        <v>160.5</v>
      </c>
      <c r="N418">
        <f>RTD("tos.rtd", , "52HIGH", A418)</f>
        <v>188.09950000000001</v>
      </c>
      <c r="O418">
        <f>RTD("tos.rtd", , "52LOW", A418)</f>
        <v>150.15</v>
      </c>
      <c r="P418">
        <f>RTD("tos.rtd", , "Mark", A418)</f>
        <v>161.94999999999999</v>
      </c>
    </row>
    <row r="419" spans="1:16" x14ac:dyDescent="0.25">
      <c r="A419" t="s">
        <v>431</v>
      </c>
      <c r="B419">
        <f>RTD("tos.rtd", , "Last", A419)</f>
        <v>0</v>
      </c>
      <c r="C419" t="str">
        <f>RTD("tos.rtd", , "STRENGTH_METER", A419)</f>
        <v>N/A</v>
      </c>
      <c r="D419" t="str">
        <f>RTD("tos.rtd", , "QUOTE_TREND", A419)</f>
        <v>instrument=SPLS</v>
      </c>
      <c r="E419">
        <f>RTD("tos.rtd", , "NET_CHANGE", A419)</f>
        <v>0</v>
      </c>
      <c r="F419">
        <f>RTD("tos.rtd", , "BID", A419)</f>
        <v>10.24</v>
      </c>
      <c r="G419">
        <f>RTD("tos.rtd", , "ASK", A419)</f>
        <v>10.3</v>
      </c>
      <c r="H419">
        <f>RTD("tos.rtd", , "BID_SIZE", A419)</f>
        <v>0</v>
      </c>
      <c r="I419">
        <f>RTD("tos.rtd", , "ASK_SIZE", A419)</f>
        <v>0</v>
      </c>
      <c r="J419">
        <f>RTD("tos.rtd", , "VOLUME", A419)</f>
        <v>0</v>
      </c>
      <c r="K419">
        <f>RTD("tos.rtd", , "OPEN", A419)</f>
        <v>0</v>
      </c>
      <c r="L419">
        <f>RTD("tos.rtd", , "HIGH",A419)</f>
        <v>0</v>
      </c>
      <c r="M419">
        <f>RTD("tos.rtd", , "LOW", A419)</f>
        <v>0</v>
      </c>
      <c r="N419" t="str">
        <f>RTD("tos.rtd", , "52HIGH", A419)</f>
        <v>N/A</v>
      </c>
      <c r="O419" t="str">
        <f>RTD("tos.rtd", , "52LOW", A419)</f>
        <v>N/A</v>
      </c>
      <c r="P419">
        <f>RTD("tos.rtd", , "Mark", A419)</f>
        <v>10.24</v>
      </c>
    </row>
    <row r="420" spans="1:16" x14ac:dyDescent="0.25">
      <c r="A420" t="s">
        <v>432</v>
      </c>
      <c r="B420">
        <f>RTD("tos.rtd", , "Last", A420)</f>
        <v>62.76</v>
      </c>
      <c r="C420" t="str">
        <f>RTD("tos.rtd", , "STRENGTH_METER", A420)</f>
        <v>Downtrend</v>
      </c>
      <c r="D420" t="str">
        <f>RTD("tos.rtd", , "QUOTE_TREND", A420)</f>
        <v>instrument=SRCL</v>
      </c>
      <c r="E420">
        <f>RTD("tos.rtd", , "NET_CHANGE", A420)</f>
        <v>0.08</v>
      </c>
      <c r="F420">
        <f>RTD("tos.rtd", , "BID", A420)</f>
        <v>62.25</v>
      </c>
      <c r="G420">
        <f>RTD("tos.rtd", , "ASK", A420)</f>
        <v>64.69</v>
      </c>
      <c r="H420">
        <f>RTD("tos.rtd", , "BID_SIZE", A420)</f>
        <v>1</v>
      </c>
      <c r="I420">
        <f>RTD("tos.rtd", , "ASK_SIZE", A420)</f>
        <v>4</v>
      </c>
      <c r="J420">
        <f>RTD("tos.rtd", , "VOLUME", A420)</f>
        <v>850229</v>
      </c>
      <c r="K420">
        <f>RTD("tos.rtd", , "OPEN", A420)</f>
        <v>62.61</v>
      </c>
      <c r="L420">
        <f>RTD("tos.rtd", , "HIGH",A420)</f>
        <v>63.45</v>
      </c>
      <c r="M420">
        <f>RTD("tos.rtd", , "LOW", A420)</f>
        <v>62.34</v>
      </c>
      <c r="N420">
        <f>RTD("tos.rtd", , "52HIGH", A420)</f>
        <v>88</v>
      </c>
      <c r="O420">
        <f>RTD("tos.rtd", , "52LOW", A420)</f>
        <v>61.62</v>
      </c>
      <c r="P420">
        <f>RTD("tos.rtd", , "Mark", A420)</f>
        <v>62.76</v>
      </c>
    </row>
    <row r="421" spans="1:16" x14ac:dyDescent="0.25">
      <c r="A421" t="s">
        <v>433</v>
      </c>
      <c r="B421">
        <f>RTD("tos.rtd", , "Last", A421)</f>
        <v>119.51</v>
      </c>
      <c r="C421" t="str">
        <f>RTD("tos.rtd", , "STRENGTH_METER", A421)</f>
        <v>Range Bound</v>
      </c>
      <c r="D421" t="str">
        <f>RTD("tos.rtd", , "QUOTE_TREND", A421)</f>
        <v>instrument=SRE</v>
      </c>
      <c r="E421">
        <f>RTD("tos.rtd", , "NET_CHANGE", A421)</f>
        <v>-0.35</v>
      </c>
      <c r="F421">
        <f>RTD("tos.rtd", , "BID", A421)</f>
        <v>119.55</v>
      </c>
      <c r="G421">
        <f>RTD("tos.rtd", , "ASK", A421)</f>
        <v>119.51</v>
      </c>
      <c r="H421">
        <f>RTD("tos.rtd", , "BID_SIZE", A421)</f>
        <v>1</v>
      </c>
      <c r="I421">
        <f>RTD("tos.rtd", , "ASK_SIZE", A421)</f>
        <v>0</v>
      </c>
      <c r="J421">
        <f>RTD("tos.rtd", , "VOLUME", A421)</f>
        <v>1695303</v>
      </c>
      <c r="K421">
        <f>RTD("tos.rtd", , "OPEN", A421)</f>
        <v>119.62</v>
      </c>
      <c r="L421">
        <f>RTD("tos.rtd", , "HIGH",A421)</f>
        <v>120.18470000000001</v>
      </c>
      <c r="M421">
        <f>RTD("tos.rtd", , "LOW", A421)</f>
        <v>119.16</v>
      </c>
      <c r="N421">
        <f>RTD("tos.rtd", , "52HIGH", A421)</f>
        <v>122.97499999999999</v>
      </c>
      <c r="O421">
        <f>RTD("tos.rtd", , "52LOW", A421)</f>
        <v>96.53</v>
      </c>
      <c r="P421">
        <f>RTD("tos.rtd", , "Mark", A421)</f>
        <v>119.51</v>
      </c>
    </row>
    <row r="422" spans="1:16" x14ac:dyDescent="0.25">
      <c r="A422" t="s">
        <v>434</v>
      </c>
      <c r="B422">
        <f>RTD("tos.rtd", , "Last", A422)</f>
        <v>57.77</v>
      </c>
      <c r="C422" t="str">
        <f>RTD("tos.rtd", , "STRENGTH_METER", A422)</f>
        <v>Range Bound</v>
      </c>
      <c r="D422" t="str">
        <f>RTD("tos.rtd", , "QUOTE_TREND", A422)</f>
        <v>instrument=STI</v>
      </c>
      <c r="E422">
        <f>RTD("tos.rtd", , "NET_CHANGE", A422)</f>
        <v>0.05</v>
      </c>
      <c r="F422">
        <f>RTD("tos.rtd", , "BID", A422)</f>
        <v>57.57</v>
      </c>
      <c r="G422">
        <f>RTD("tos.rtd", , "ASK", A422)</f>
        <v>57.8</v>
      </c>
      <c r="H422">
        <f>RTD("tos.rtd", , "BID_SIZE", A422)</f>
        <v>1</v>
      </c>
      <c r="I422">
        <f>RTD("tos.rtd", , "ASK_SIZE", A422)</f>
        <v>1</v>
      </c>
      <c r="J422">
        <f>RTD("tos.rtd", , "VOLUME", A422)</f>
        <v>2470367</v>
      </c>
      <c r="K422">
        <f>RTD("tos.rtd", , "OPEN", A422)</f>
        <v>57.4</v>
      </c>
      <c r="L422">
        <f>RTD("tos.rtd", , "HIGH",A422)</f>
        <v>58.01</v>
      </c>
      <c r="M422">
        <f>RTD("tos.rtd", , "LOW", A422)</f>
        <v>57.32</v>
      </c>
      <c r="N422">
        <f>RTD("tos.rtd", , "52HIGH", A422)</f>
        <v>61.69</v>
      </c>
      <c r="O422">
        <f>RTD("tos.rtd", , "52LOW", A422)</f>
        <v>50.66</v>
      </c>
      <c r="P422">
        <f>RTD("tos.rtd", , "Mark", A422)</f>
        <v>57.77</v>
      </c>
    </row>
    <row r="423" spans="1:16" x14ac:dyDescent="0.25">
      <c r="A423" t="s">
        <v>435</v>
      </c>
      <c r="B423">
        <f>RTD("tos.rtd", , "Last", A423)</f>
        <v>80.819999999999993</v>
      </c>
      <c r="C423" t="str">
        <f>RTD("tos.rtd", , "STRENGTH_METER", A423)</f>
        <v>Range Bound</v>
      </c>
      <c r="D423" t="str">
        <f>RTD("tos.rtd", , "QUOTE_TREND", A423)</f>
        <v>instrument=STJ</v>
      </c>
      <c r="E423">
        <f>RTD("tos.rtd", , "NET_CHANGE", A423)</f>
        <v>0</v>
      </c>
      <c r="F423">
        <f>RTD("tos.rtd", , "BID", A423)</f>
        <v>80.98</v>
      </c>
      <c r="G423">
        <f>RTD("tos.rtd", , "ASK", A423)</f>
        <v>81.06</v>
      </c>
      <c r="H423">
        <f>RTD("tos.rtd", , "BID_SIZE", A423)</f>
        <v>0</v>
      </c>
      <c r="I423">
        <f>RTD("tos.rtd", , "ASK_SIZE", A423)</f>
        <v>0</v>
      </c>
      <c r="J423">
        <f>RTD("tos.rtd", , "VOLUME", A423)</f>
        <v>0</v>
      </c>
      <c r="K423">
        <f>RTD("tos.rtd", , "OPEN", A423)</f>
        <v>0</v>
      </c>
      <c r="L423">
        <f>RTD("tos.rtd", , "HIGH",A423)</f>
        <v>0</v>
      </c>
      <c r="M423">
        <f>RTD("tos.rtd", , "LOW", A423)</f>
        <v>0</v>
      </c>
      <c r="N423">
        <f>RTD("tos.rtd", , "52HIGH", A423)</f>
        <v>84</v>
      </c>
      <c r="O423">
        <f>RTD("tos.rtd", , "52LOW", A423)</f>
        <v>48.83</v>
      </c>
      <c r="P423">
        <f>RTD("tos.rtd", , "Mark", A423)</f>
        <v>80.98</v>
      </c>
    </row>
    <row r="424" spans="1:16" x14ac:dyDescent="0.25">
      <c r="A424" t="s">
        <v>436</v>
      </c>
      <c r="B424">
        <f>RTD("tos.rtd", , "Last", A424)</f>
        <v>92.31</v>
      </c>
      <c r="C424" t="str">
        <f>RTD("tos.rtd", , "STRENGTH_METER", A424)</f>
        <v>Range Bound</v>
      </c>
      <c r="D424" t="str">
        <f>RTD("tos.rtd", , "QUOTE_TREND", A424)</f>
        <v>instrument=STT</v>
      </c>
      <c r="E424">
        <f>RTD("tos.rtd", , "NET_CHANGE", A424)</f>
        <v>-0.09</v>
      </c>
      <c r="F424">
        <f>RTD("tos.rtd", , "BID", A424)</f>
        <v>75</v>
      </c>
      <c r="G424">
        <f>RTD("tos.rtd", , "ASK", A424)</f>
        <v>93.55</v>
      </c>
      <c r="H424">
        <f>RTD("tos.rtd", , "BID_SIZE", A424)</f>
        <v>1</v>
      </c>
      <c r="I424">
        <f>RTD("tos.rtd", , "ASK_SIZE", A424)</f>
        <v>1</v>
      </c>
      <c r="J424">
        <f>RTD("tos.rtd", , "VOLUME", A424)</f>
        <v>1899423</v>
      </c>
      <c r="K424">
        <f>RTD("tos.rtd", , "OPEN", A424)</f>
        <v>91.99</v>
      </c>
      <c r="L424">
        <f>RTD("tos.rtd", , "HIGH",A424)</f>
        <v>92.89</v>
      </c>
      <c r="M424">
        <f>RTD("tos.rtd", , "LOW", A424)</f>
        <v>91.63</v>
      </c>
      <c r="N424">
        <f>RTD("tos.rtd", , "52HIGH", A424)</f>
        <v>99.99</v>
      </c>
      <c r="O424">
        <f>RTD("tos.rtd", , "52LOW", A424)</f>
        <v>74.450100000000006</v>
      </c>
      <c r="P424">
        <f>RTD("tos.rtd", , "Mark", A424)</f>
        <v>92.31</v>
      </c>
    </row>
    <row r="425" spans="1:16" x14ac:dyDescent="0.25">
      <c r="A425" t="s">
        <v>437</v>
      </c>
      <c r="B425">
        <f>RTD("tos.rtd", , "Last", A425)</f>
        <v>39.42</v>
      </c>
      <c r="C425" t="str">
        <f>RTD("tos.rtd", , "STRENGTH_METER", A425)</f>
        <v>Range Bound</v>
      </c>
      <c r="D425" t="str">
        <f>RTD("tos.rtd", , "QUOTE_TREND", A425)</f>
        <v>instrument=STX</v>
      </c>
      <c r="E425">
        <f>RTD("tos.rtd", , "NET_CHANGE", A425)</f>
        <v>0.3</v>
      </c>
      <c r="F425">
        <f>RTD("tos.rtd", , "BID", A425)</f>
        <v>39.29</v>
      </c>
      <c r="G425">
        <f>RTD("tos.rtd", , "ASK", A425)</f>
        <v>39.49</v>
      </c>
      <c r="H425">
        <f>RTD("tos.rtd", , "BID_SIZE", A425)</f>
        <v>1</v>
      </c>
      <c r="I425">
        <f>RTD("tos.rtd", , "ASK_SIZE", A425)</f>
        <v>1</v>
      </c>
      <c r="J425">
        <f>RTD("tos.rtd", , "VOLUME", A425)</f>
        <v>3141519</v>
      </c>
      <c r="K425">
        <f>RTD("tos.rtd", , "OPEN", A425)</f>
        <v>39.24</v>
      </c>
      <c r="L425">
        <f>RTD("tos.rtd", , "HIGH",A425)</f>
        <v>39.6</v>
      </c>
      <c r="M425">
        <f>RTD("tos.rtd", , "LOW", A425)</f>
        <v>38.78</v>
      </c>
      <c r="N425">
        <f>RTD("tos.rtd", , "52HIGH", A425)</f>
        <v>50.96</v>
      </c>
      <c r="O425">
        <f>RTD("tos.rtd", , "52LOW", A425)</f>
        <v>30.6</v>
      </c>
      <c r="P425">
        <f>RTD("tos.rtd", , "Mark", A425)</f>
        <v>39.42</v>
      </c>
    </row>
    <row r="426" spans="1:16" x14ac:dyDescent="0.25">
      <c r="A426" t="s">
        <v>438</v>
      </c>
      <c r="B426">
        <f>RTD("tos.rtd", , "Last", A426)</f>
        <v>216.29</v>
      </c>
      <c r="C426" t="str">
        <f>RTD("tos.rtd", , "STRENGTH_METER", A426)</f>
        <v>Range Bound</v>
      </c>
      <c r="D426" t="str">
        <f>RTD("tos.rtd", , "QUOTE_TREND", A426)</f>
        <v>instrument=STZ</v>
      </c>
      <c r="E426">
        <f>RTD("tos.rtd", , "NET_CHANGE", A426)</f>
        <v>-1.05</v>
      </c>
      <c r="F426">
        <f>RTD("tos.rtd", , "BID", A426)</f>
        <v>215.01</v>
      </c>
      <c r="G426">
        <f>RTD("tos.rtd", , "ASK", A426)</f>
        <v>216.53</v>
      </c>
      <c r="H426">
        <f>RTD("tos.rtd", , "BID_SIZE", A426)</f>
        <v>1</v>
      </c>
      <c r="I426">
        <f>RTD("tos.rtd", , "ASK_SIZE", A426)</f>
        <v>1</v>
      </c>
      <c r="J426">
        <f>RTD("tos.rtd", , "VOLUME", A426)</f>
        <v>848218</v>
      </c>
      <c r="K426">
        <f>RTD("tos.rtd", , "OPEN", A426)</f>
        <v>217.18</v>
      </c>
      <c r="L426">
        <f>RTD("tos.rtd", , "HIGH",A426)</f>
        <v>217.245</v>
      </c>
      <c r="M426">
        <f>RTD("tos.rtd", , "LOW", A426)</f>
        <v>215.2664</v>
      </c>
      <c r="N426">
        <f>RTD("tos.rtd", , "52HIGH", A426)</f>
        <v>227.2</v>
      </c>
      <c r="O426">
        <f>RTD("tos.rtd", , "52LOW", A426)</f>
        <v>144</v>
      </c>
      <c r="P426">
        <f>RTD("tos.rtd", , "Mark", A426)</f>
        <v>216.29</v>
      </c>
    </row>
    <row r="427" spans="1:16" x14ac:dyDescent="0.25">
      <c r="A427" t="s">
        <v>439</v>
      </c>
      <c r="B427">
        <f>RTD("tos.rtd", , "Last", A427)</f>
        <v>163.27000000000001</v>
      </c>
      <c r="C427" t="str">
        <f>RTD("tos.rtd", , "STRENGTH_METER", A427)</f>
        <v>Range Bound</v>
      </c>
      <c r="D427" t="str">
        <f>RTD("tos.rtd", , "QUOTE_TREND", A427)</f>
        <v>instrument=SWK</v>
      </c>
      <c r="E427">
        <f>RTD("tos.rtd", , "NET_CHANGE", A427)</f>
        <v>0.28000000000000003</v>
      </c>
      <c r="F427">
        <f>RTD("tos.rtd", , "BID", A427)</f>
        <v>160.27000000000001</v>
      </c>
      <c r="G427">
        <f>RTD("tos.rtd", , "ASK", A427)</f>
        <v>172.21</v>
      </c>
      <c r="H427">
        <f>RTD("tos.rtd", , "BID_SIZE", A427)</f>
        <v>1</v>
      </c>
      <c r="I427">
        <f>RTD("tos.rtd", , "ASK_SIZE", A427)</f>
        <v>1</v>
      </c>
      <c r="J427">
        <f>RTD("tos.rtd", , "VOLUME", A427)</f>
        <v>824754</v>
      </c>
      <c r="K427">
        <f>RTD("tos.rtd", , "OPEN", A427)</f>
        <v>162.97999999999999</v>
      </c>
      <c r="L427">
        <f>RTD("tos.rtd", , "HIGH",A427)</f>
        <v>164.35</v>
      </c>
      <c r="M427">
        <f>RTD("tos.rtd", , "LOW", A427)</f>
        <v>162.185</v>
      </c>
      <c r="N427">
        <f>RTD("tos.rtd", , "52HIGH", A427)</f>
        <v>168.25</v>
      </c>
      <c r="O427">
        <f>RTD("tos.rtd", , "52LOW", A427)</f>
        <v>114.26819999999999</v>
      </c>
      <c r="P427">
        <f>RTD("tos.rtd", , "Mark", A427)</f>
        <v>163.27000000000001</v>
      </c>
    </row>
    <row r="428" spans="1:16" x14ac:dyDescent="0.25">
      <c r="A428" t="s">
        <v>440</v>
      </c>
      <c r="B428">
        <f>RTD("tos.rtd", , "Last", A428)</f>
        <v>6.45</v>
      </c>
      <c r="C428" t="str">
        <f>RTD("tos.rtd", , "STRENGTH_METER", A428)</f>
        <v>Uptrend</v>
      </c>
      <c r="D428" t="str">
        <f>RTD("tos.rtd", , "QUOTE_TREND", A428)</f>
        <v>instrument=SWN</v>
      </c>
      <c r="E428">
        <f>RTD("tos.rtd", , "NET_CHANGE", A428)</f>
        <v>0.35</v>
      </c>
      <c r="F428">
        <f>RTD("tos.rtd", , "BID", A428)</f>
        <v>6.45</v>
      </c>
      <c r="G428">
        <f>RTD("tos.rtd", , "ASK", A428)</f>
        <v>6.46</v>
      </c>
      <c r="H428">
        <f>RTD("tos.rtd", , "BID_SIZE", A428)</f>
        <v>7</v>
      </c>
      <c r="I428">
        <f>RTD("tos.rtd", , "ASK_SIZE", A428)</f>
        <v>2</v>
      </c>
      <c r="J428">
        <f>RTD("tos.rtd", , "VOLUME", A428)</f>
        <v>11602787</v>
      </c>
      <c r="K428">
        <f>RTD("tos.rtd", , "OPEN", A428)</f>
        <v>6.17</v>
      </c>
      <c r="L428">
        <f>RTD("tos.rtd", , "HIGH",A428)</f>
        <v>6.47</v>
      </c>
      <c r="M428">
        <f>RTD("tos.rtd", , "LOW", A428)</f>
        <v>6.16</v>
      </c>
      <c r="N428">
        <f>RTD("tos.rtd", , "52HIGH", A428)</f>
        <v>12.85</v>
      </c>
      <c r="O428">
        <f>RTD("tos.rtd", , "52LOW", A428)</f>
        <v>4.9000000000000004</v>
      </c>
      <c r="P428">
        <f>RTD("tos.rtd", , "Mark", A428)</f>
        <v>6.45</v>
      </c>
    </row>
    <row r="429" spans="1:16" x14ac:dyDescent="0.25">
      <c r="A429" t="s">
        <v>441</v>
      </c>
      <c r="B429">
        <f>RTD("tos.rtd", , "Last", A429)</f>
        <v>110.33</v>
      </c>
      <c r="C429" t="str">
        <f>RTD("tos.rtd", , "STRENGTH_METER", A429)</f>
        <v>N/A</v>
      </c>
      <c r="D429" t="str">
        <f>RTD("tos.rtd", , "QUOTE_TREND", A429)</f>
        <v>instrument=SWY</v>
      </c>
      <c r="E429">
        <f>RTD("tos.rtd", , "NET_CHANGE", A429)</f>
        <v>0</v>
      </c>
      <c r="F429">
        <f>RTD("tos.rtd", , "BID", A429)</f>
        <v>127.84</v>
      </c>
      <c r="G429">
        <f>RTD("tos.rtd", , "ASK", A429)</f>
        <v>118.57</v>
      </c>
      <c r="H429">
        <f>RTD("tos.rtd", , "BID_SIZE", A429)</f>
        <v>0</v>
      </c>
      <c r="I429">
        <f>RTD("tos.rtd", , "ASK_SIZE", A429)</f>
        <v>0</v>
      </c>
      <c r="J429">
        <f>RTD("tos.rtd", , "VOLUME", A429)</f>
        <v>0</v>
      </c>
      <c r="K429">
        <f>RTD("tos.rtd", , "OPEN", A429)</f>
        <v>0</v>
      </c>
      <c r="L429">
        <f>RTD("tos.rtd", , "HIGH",A429)</f>
        <v>0</v>
      </c>
      <c r="M429">
        <f>RTD("tos.rtd", , "LOW", A429)</f>
        <v>0</v>
      </c>
      <c r="N429">
        <f>RTD("tos.rtd", , "52HIGH", A429)</f>
        <v>149.51</v>
      </c>
      <c r="O429">
        <f>RTD("tos.rtd", , "52LOW", A429)</f>
        <v>100.03</v>
      </c>
      <c r="P429">
        <f>RTD("tos.rtd", , "Mark", A429)</f>
        <v>110.33</v>
      </c>
    </row>
    <row r="430" spans="1:16" x14ac:dyDescent="0.25">
      <c r="A430" t="s">
        <v>442</v>
      </c>
      <c r="B430">
        <f>RTD("tos.rtd", , "Last", A430)</f>
        <v>155.4</v>
      </c>
      <c r="C430" t="str">
        <f>RTD("tos.rtd", , "STRENGTH_METER", A430)</f>
        <v>Range Bound</v>
      </c>
      <c r="D430" t="str">
        <f>RTD("tos.rtd", , "QUOTE_TREND", A430)</f>
        <v>instrument=SYK</v>
      </c>
      <c r="E430">
        <f>RTD("tos.rtd", , "NET_CHANGE", A430)</f>
        <v>-1.08</v>
      </c>
      <c r="F430">
        <f>RTD("tos.rtd", , "BID", A430)</f>
        <v>149.75</v>
      </c>
      <c r="G430">
        <f>RTD("tos.rtd", , "ASK", A430)</f>
        <v>164.34</v>
      </c>
      <c r="H430">
        <f>RTD("tos.rtd", , "BID_SIZE", A430)</f>
        <v>1</v>
      </c>
      <c r="I430">
        <f>RTD("tos.rtd", , "ASK_SIZE", A430)</f>
        <v>0</v>
      </c>
      <c r="J430">
        <f>RTD("tos.rtd", , "VOLUME", A430)</f>
        <v>913790</v>
      </c>
      <c r="K430">
        <f>RTD("tos.rtd", , "OPEN", A430)</f>
        <v>155.69</v>
      </c>
      <c r="L430">
        <f>RTD("tos.rtd", , "HIGH",A430)</f>
        <v>156.59</v>
      </c>
      <c r="M430">
        <f>RTD("tos.rtd", , "LOW", A430)</f>
        <v>155.18</v>
      </c>
      <c r="N430">
        <f>RTD("tos.rtd", , "52HIGH", A430)</f>
        <v>160.62</v>
      </c>
      <c r="O430">
        <f>RTD("tos.rtd", , "52LOW", A430)</f>
        <v>108.29</v>
      </c>
      <c r="P430">
        <f>RTD("tos.rtd", , "Mark", A430)</f>
        <v>155.4</v>
      </c>
    </row>
    <row r="431" spans="1:16" x14ac:dyDescent="0.25">
      <c r="A431" t="s">
        <v>443</v>
      </c>
      <c r="B431">
        <f>RTD("tos.rtd", , "Last", A431)</f>
        <v>28.04</v>
      </c>
      <c r="C431" t="str">
        <f>RTD("tos.rtd", , "STRENGTH_METER", A431)</f>
        <v>Downtrend</v>
      </c>
      <c r="D431" t="str">
        <f>RTD("tos.rtd", , "QUOTE_TREND", A431)</f>
        <v>instrument=SYMC</v>
      </c>
      <c r="E431">
        <f>RTD("tos.rtd", , "NET_CHANGE", A431)</f>
        <v>-0.24</v>
      </c>
      <c r="F431">
        <f>RTD("tos.rtd", , "BID", A431)</f>
        <v>27.98</v>
      </c>
      <c r="G431">
        <f>RTD("tos.rtd", , "ASK", A431)</f>
        <v>28.07</v>
      </c>
      <c r="H431">
        <f>RTD("tos.rtd", , "BID_SIZE", A431)</f>
        <v>4</v>
      </c>
      <c r="I431">
        <f>RTD("tos.rtd", , "ASK_SIZE", A431)</f>
        <v>4</v>
      </c>
      <c r="J431">
        <f>RTD("tos.rtd", , "VOLUME", A431)</f>
        <v>3490388</v>
      </c>
      <c r="K431">
        <f>RTD("tos.rtd", , "OPEN", A431)</f>
        <v>28.17</v>
      </c>
      <c r="L431">
        <f>RTD("tos.rtd", , "HIGH",A431)</f>
        <v>28.31</v>
      </c>
      <c r="M431">
        <f>RTD("tos.rtd", , "LOW", A431)</f>
        <v>27.89</v>
      </c>
      <c r="N431">
        <f>RTD("tos.rtd", , "52HIGH", A431)</f>
        <v>34.200000000000003</v>
      </c>
      <c r="O431">
        <f>RTD("tos.rtd", , "52LOW", A431)</f>
        <v>23.2</v>
      </c>
      <c r="P431">
        <f>RTD("tos.rtd", , "Mark", A431)</f>
        <v>28.04</v>
      </c>
    </row>
    <row r="432" spans="1:16" x14ac:dyDescent="0.25">
      <c r="A432" t="s">
        <v>444</v>
      </c>
      <c r="B432">
        <f>RTD("tos.rtd", , "Last", A432)</f>
        <v>54.89</v>
      </c>
      <c r="C432" t="str">
        <f>RTD("tos.rtd", , "STRENGTH_METER", A432)</f>
        <v>Range Bound</v>
      </c>
      <c r="D432" t="str">
        <f>RTD("tos.rtd", , "QUOTE_TREND", A432)</f>
        <v>instrument=SYY</v>
      </c>
      <c r="E432">
        <f>RTD("tos.rtd", , "NET_CHANGE", A432)</f>
        <v>0.41</v>
      </c>
      <c r="F432">
        <f>RTD("tos.rtd", , "BID", A432)</f>
        <v>52.98</v>
      </c>
      <c r="G432">
        <f>RTD("tos.rtd", , "ASK", A432)</f>
        <v>54.94</v>
      </c>
      <c r="H432">
        <f>RTD("tos.rtd", , "BID_SIZE", A432)</f>
        <v>4</v>
      </c>
      <c r="I432">
        <f>RTD("tos.rtd", , "ASK_SIZE", A432)</f>
        <v>2</v>
      </c>
      <c r="J432">
        <f>RTD("tos.rtd", , "VOLUME", A432)</f>
        <v>2739586</v>
      </c>
      <c r="K432">
        <f>RTD("tos.rtd", , "OPEN", A432)</f>
        <v>54.32</v>
      </c>
      <c r="L432">
        <f>RTD("tos.rtd", , "HIGH",A432)</f>
        <v>55.14</v>
      </c>
      <c r="M432">
        <f>RTD("tos.rtd", , "LOW", A432)</f>
        <v>54.3</v>
      </c>
      <c r="N432">
        <f>RTD("tos.rtd", , "52HIGH", A432)</f>
        <v>57.23</v>
      </c>
      <c r="O432">
        <f>RTD("tos.rtd", , "52LOW", A432)</f>
        <v>48.85</v>
      </c>
      <c r="P432">
        <f>RTD("tos.rtd", , "Mark", A432)</f>
        <v>54.89</v>
      </c>
    </row>
    <row r="433" spans="1:16" x14ac:dyDescent="0.25">
      <c r="A433" t="s">
        <v>445</v>
      </c>
      <c r="B433">
        <f>RTD("tos.rtd", , "Last", A433)</f>
        <v>34.51</v>
      </c>
      <c r="C433" t="str">
        <f>RTD("tos.rtd", , "STRENGTH_METER", A433)</f>
        <v>Range Bound</v>
      </c>
      <c r="D433" t="str">
        <f>RTD("tos.rtd", , "QUOTE_TREND", A433)</f>
        <v>instrument=T</v>
      </c>
      <c r="E433">
        <f>RTD("tos.rtd", , "NET_CHANGE", A433)</f>
        <v>-0.01</v>
      </c>
      <c r="F433">
        <f>RTD("tos.rtd", , "BID", A433)</f>
        <v>34.549999999999997</v>
      </c>
      <c r="G433">
        <f>RTD("tos.rtd", , "ASK", A433)</f>
        <v>34.58</v>
      </c>
      <c r="H433">
        <f>RTD("tos.rtd", , "BID_SIZE", A433)</f>
        <v>158</v>
      </c>
      <c r="I433">
        <f>RTD("tos.rtd", , "ASK_SIZE", A433)</f>
        <v>2</v>
      </c>
      <c r="J433">
        <f>RTD("tos.rtd", , "VOLUME", A433)</f>
        <v>36902652</v>
      </c>
      <c r="K433">
        <f>RTD("tos.rtd", , "OPEN", A433)</f>
        <v>34.43</v>
      </c>
      <c r="L433">
        <f>RTD("tos.rtd", , "HIGH",A433)</f>
        <v>34.880000000000003</v>
      </c>
      <c r="M433">
        <f>RTD("tos.rtd", , "LOW", A433)</f>
        <v>34.35</v>
      </c>
      <c r="N433">
        <f>RTD("tos.rtd", , "52HIGH", A433)</f>
        <v>43.03</v>
      </c>
      <c r="O433">
        <f>RTD("tos.rtd", , "52LOW", A433)</f>
        <v>32.549999999999997</v>
      </c>
      <c r="P433">
        <f>RTD("tos.rtd", , "Mark", A433)</f>
        <v>34.549999999999997</v>
      </c>
    </row>
    <row r="434" spans="1:16" x14ac:dyDescent="0.25">
      <c r="A434" t="s">
        <v>446</v>
      </c>
      <c r="B434">
        <f>RTD("tos.rtd", , "Last", A434)</f>
        <v>79.680000000000007</v>
      </c>
      <c r="C434" t="str">
        <f>RTD("tos.rtd", , "STRENGTH_METER", A434)</f>
        <v>Range Bound</v>
      </c>
      <c r="D434" t="str">
        <f>RTD("tos.rtd", , "QUOTE_TREND", A434)</f>
        <v>instrument=TAP</v>
      </c>
      <c r="E434">
        <f>RTD("tos.rtd", , "NET_CHANGE", A434)</f>
        <v>0.19</v>
      </c>
      <c r="F434">
        <f>RTD("tos.rtd", , "BID", A434)</f>
        <v>79</v>
      </c>
      <c r="G434">
        <f>RTD("tos.rtd", , "ASK", A434)</f>
        <v>79.73</v>
      </c>
      <c r="H434">
        <f>RTD("tos.rtd", , "BID_SIZE", A434)</f>
        <v>1</v>
      </c>
      <c r="I434">
        <f>RTD("tos.rtd", , "ASK_SIZE", A434)</f>
        <v>1</v>
      </c>
      <c r="J434">
        <f>RTD("tos.rtd", , "VOLUME", A434)</f>
        <v>745273</v>
      </c>
      <c r="K434">
        <f>RTD("tos.rtd", , "OPEN", A434)</f>
        <v>79.239999999999995</v>
      </c>
      <c r="L434">
        <f>RTD("tos.rtd", , "HIGH",A434)</f>
        <v>79.97</v>
      </c>
      <c r="M434">
        <f>RTD("tos.rtd", , "LOW", A434)</f>
        <v>78.88</v>
      </c>
      <c r="N434">
        <f>RTD("tos.rtd", , "52HIGH", A434)</f>
        <v>102.14</v>
      </c>
      <c r="O434">
        <f>RTD("tos.rtd", , "52LOW", A434)</f>
        <v>78.099999999999994</v>
      </c>
      <c r="P434">
        <f>RTD("tos.rtd", , "Mark", A434)</f>
        <v>79.680000000000007</v>
      </c>
    </row>
    <row r="435" spans="1:16" x14ac:dyDescent="0.25">
      <c r="A435" t="s">
        <v>447</v>
      </c>
      <c r="B435">
        <f>RTD("tos.rtd", , "Last", A435)</f>
        <v>35.83</v>
      </c>
      <c r="C435" t="str">
        <f>RTD("tos.rtd", , "STRENGTH_METER", A435)</f>
        <v>Range Bound</v>
      </c>
      <c r="D435" t="str">
        <f>RTD("tos.rtd", , "QUOTE_TREND", A435)</f>
        <v>instrument=TDC</v>
      </c>
      <c r="E435">
        <f>RTD("tos.rtd", , "NET_CHANGE", A435)</f>
        <v>-0.02</v>
      </c>
      <c r="F435">
        <f>RTD("tos.rtd", , "BID", A435)</f>
        <v>34.99</v>
      </c>
      <c r="G435">
        <f>RTD("tos.rtd", , "ASK", A435)</f>
        <v>38.89</v>
      </c>
      <c r="H435">
        <f>RTD("tos.rtd", , "BID_SIZE", A435)</f>
        <v>6</v>
      </c>
      <c r="I435">
        <f>RTD("tos.rtd", , "ASK_SIZE", A435)</f>
        <v>6</v>
      </c>
      <c r="J435">
        <f>RTD("tos.rtd", , "VOLUME", A435)</f>
        <v>626332</v>
      </c>
      <c r="K435">
        <f>RTD("tos.rtd", , "OPEN", A435)</f>
        <v>35.85</v>
      </c>
      <c r="L435">
        <f>RTD("tos.rtd", , "HIGH",A435)</f>
        <v>36.06</v>
      </c>
      <c r="M435">
        <f>RTD("tos.rtd", , "LOW", A435)</f>
        <v>35.619999999999997</v>
      </c>
      <c r="N435">
        <f>RTD("tos.rtd", , "52HIGH", A435)</f>
        <v>38.08</v>
      </c>
      <c r="O435">
        <f>RTD("tos.rtd", , "52LOW", A435)</f>
        <v>26.27</v>
      </c>
      <c r="P435">
        <f>RTD("tos.rtd", , "Mark", A435)</f>
        <v>35.83</v>
      </c>
    </row>
    <row r="436" spans="1:16" x14ac:dyDescent="0.25">
      <c r="A436" t="s">
        <v>448</v>
      </c>
      <c r="B436">
        <f>RTD("tos.rtd", , "Last", A436)</f>
        <v>0</v>
      </c>
      <c r="C436" t="str">
        <f>RTD("tos.rtd", , "STRENGTH_METER", A436)</f>
        <v>N/A</v>
      </c>
      <c r="D436" t="str">
        <f>RTD("tos.rtd", , "QUOTE_TREND", A436)</f>
        <v>instrument=TE</v>
      </c>
      <c r="E436">
        <f>RTD("tos.rtd", , "NET_CHANGE", A436)</f>
        <v>0</v>
      </c>
      <c r="F436">
        <f>RTD("tos.rtd", , "BID", A436)</f>
        <v>27.64</v>
      </c>
      <c r="G436">
        <f>RTD("tos.rtd", , "ASK", A436)</f>
        <v>27.68</v>
      </c>
      <c r="H436">
        <f>RTD("tos.rtd", , "BID_SIZE", A436)</f>
        <v>0</v>
      </c>
      <c r="I436">
        <f>RTD("tos.rtd", , "ASK_SIZE", A436)</f>
        <v>0</v>
      </c>
      <c r="J436">
        <f>RTD("tos.rtd", , "VOLUME", A436)</f>
        <v>0</v>
      </c>
      <c r="K436">
        <f>RTD("tos.rtd", , "OPEN", A436)</f>
        <v>0</v>
      </c>
      <c r="L436">
        <f>RTD("tos.rtd", , "HIGH",A436)</f>
        <v>0</v>
      </c>
      <c r="M436">
        <f>RTD("tos.rtd", , "LOW", A436)</f>
        <v>0</v>
      </c>
      <c r="N436">
        <f>RTD("tos.rtd", , "52HIGH", A436)</f>
        <v>0</v>
      </c>
      <c r="O436">
        <f>RTD("tos.rtd", , "52LOW", A436)</f>
        <v>0</v>
      </c>
      <c r="P436">
        <f>RTD("tos.rtd", , "Mark", A436)</f>
        <v>27.64</v>
      </c>
    </row>
    <row r="437" spans="1:16" x14ac:dyDescent="0.25">
      <c r="A437" t="s">
        <v>449</v>
      </c>
      <c r="B437">
        <f>RTD("tos.rtd", , "Last", A437)</f>
        <v>0</v>
      </c>
      <c r="C437" t="str">
        <f>RTD("tos.rtd", , "STRENGTH_METER", A437)</f>
        <v>N/A</v>
      </c>
      <c r="D437" t="str">
        <f>RTD("tos.rtd", , "QUOTE_TREND", A437)</f>
        <v>instrument=TEG</v>
      </c>
      <c r="E437">
        <f>RTD("tos.rtd", , "NET_CHANGE", A437)</f>
        <v>0</v>
      </c>
      <c r="F437">
        <f>RTD("tos.rtd", , "BID", A437)</f>
        <v>100.03</v>
      </c>
      <c r="G437">
        <f>RTD("tos.rtd", , "ASK", A437)</f>
        <v>125.78</v>
      </c>
      <c r="H437">
        <f>RTD("tos.rtd", , "BID_SIZE", A437)</f>
        <v>0</v>
      </c>
      <c r="I437">
        <f>RTD("tos.rtd", , "ASK_SIZE", A437)</f>
        <v>0</v>
      </c>
      <c r="J437">
        <f>RTD("tos.rtd", , "VOLUME", A437)</f>
        <v>0</v>
      </c>
      <c r="K437">
        <f>RTD("tos.rtd", , "OPEN", A437)</f>
        <v>0</v>
      </c>
      <c r="L437">
        <f>RTD("tos.rtd", , "HIGH",A437)</f>
        <v>0</v>
      </c>
      <c r="M437">
        <f>RTD("tos.rtd", , "LOW", A437)</f>
        <v>0</v>
      </c>
      <c r="N437">
        <f>RTD("tos.rtd", , "52HIGH", A437)</f>
        <v>0</v>
      </c>
      <c r="O437">
        <f>RTD("tos.rtd", , "52LOW", A437)</f>
        <v>0</v>
      </c>
      <c r="P437">
        <f>RTD("tos.rtd", , "Mark", A437)</f>
        <v>100.03</v>
      </c>
    </row>
    <row r="438" spans="1:16" x14ac:dyDescent="0.25">
      <c r="A438" t="s">
        <v>450</v>
      </c>
      <c r="B438">
        <f>RTD("tos.rtd", , "Last", A438)</f>
        <v>95.04</v>
      </c>
      <c r="C438" t="str">
        <f>RTD("tos.rtd", , "STRENGTH_METER", A438)</f>
        <v>Range Bound</v>
      </c>
      <c r="D438" t="str">
        <f>RTD("tos.rtd", , "QUOTE_TREND", A438)</f>
        <v>instrument=TEL</v>
      </c>
      <c r="E438">
        <f>RTD("tos.rtd", , "NET_CHANGE", A438)</f>
        <v>-0.11</v>
      </c>
      <c r="F438">
        <f>RTD("tos.rtd", , "BID", A438)</f>
        <v>95.03</v>
      </c>
      <c r="G438">
        <f>RTD("tos.rtd", , "ASK", A438)</f>
        <v>95.04</v>
      </c>
      <c r="H438">
        <f>RTD("tos.rtd", , "BID_SIZE", A438)</f>
        <v>10</v>
      </c>
      <c r="I438">
        <f>RTD("tos.rtd", , "ASK_SIZE", A438)</f>
        <v>663</v>
      </c>
      <c r="J438">
        <f>RTD("tos.rtd", , "VOLUME", A438)</f>
        <v>2988816</v>
      </c>
      <c r="K438">
        <f>RTD("tos.rtd", , "OPEN", A438)</f>
        <v>95.03</v>
      </c>
      <c r="L438">
        <f>RTD("tos.rtd", , "HIGH",A438)</f>
        <v>95.37</v>
      </c>
      <c r="M438">
        <f>RTD("tos.rtd", , "LOW", A438)</f>
        <v>94.614999999999995</v>
      </c>
      <c r="N438">
        <f>RTD("tos.rtd", , "52HIGH", A438)</f>
        <v>95.364999999999995</v>
      </c>
      <c r="O438">
        <f>RTD("tos.rtd", , "52LOW", A438)</f>
        <v>66.14</v>
      </c>
      <c r="P438">
        <f>RTD("tos.rtd", , "Mark", A438)</f>
        <v>95.04</v>
      </c>
    </row>
    <row r="439" spans="1:16" x14ac:dyDescent="0.25">
      <c r="A439" t="s">
        <v>451</v>
      </c>
      <c r="B439">
        <f>RTD("tos.rtd", , "Last", A439)</f>
        <v>43.57</v>
      </c>
      <c r="C439" t="str">
        <f>RTD("tos.rtd", , "STRENGTH_METER", A439)</f>
        <v>Uptrend</v>
      </c>
      <c r="D439" t="str">
        <f>RTD("tos.rtd", , "QUOTE_TREND", A439)</f>
        <v>instrument=TER</v>
      </c>
      <c r="E439">
        <f>RTD("tos.rtd", , "NET_CHANGE", A439)</f>
        <v>-0.26</v>
      </c>
      <c r="F439">
        <f>RTD("tos.rtd", , "BID", A439)</f>
        <v>43.01</v>
      </c>
      <c r="G439">
        <f>RTD("tos.rtd", , "ASK", A439)</f>
        <v>46.5</v>
      </c>
      <c r="H439">
        <f>RTD("tos.rtd", , "BID_SIZE", A439)</f>
        <v>5</v>
      </c>
      <c r="I439">
        <f>RTD("tos.rtd", , "ASK_SIZE", A439)</f>
        <v>5</v>
      </c>
      <c r="J439">
        <f>RTD("tos.rtd", , "VOLUME", A439)</f>
        <v>1617888</v>
      </c>
      <c r="K439">
        <f>RTD("tos.rtd", , "OPEN", A439)</f>
        <v>43.96</v>
      </c>
      <c r="L439">
        <f>RTD("tos.rtd", , "HIGH",A439)</f>
        <v>44.29</v>
      </c>
      <c r="M439">
        <f>RTD("tos.rtd", , "LOW", A439)</f>
        <v>43.44</v>
      </c>
      <c r="N439">
        <f>RTD("tos.rtd", , "52HIGH", A439)</f>
        <v>44.33</v>
      </c>
      <c r="O439">
        <f>RTD("tos.rtd", , "52LOW", A439)</f>
        <v>23.39</v>
      </c>
      <c r="P439">
        <f>RTD("tos.rtd", , "Mark", A439)</f>
        <v>43.57</v>
      </c>
    </row>
    <row r="440" spans="1:16" x14ac:dyDescent="0.25">
      <c r="A440" t="s">
        <v>452</v>
      </c>
      <c r="B440">
        <f>RTD("tos.rtd", , "Last", A440)</f>
        <v>58.14</v>
      </c>
      <c r="C440" t="str">
        <f>RTD("tos.rtd", , "STRENGTH_METER", A440)</f>
        <v>Range Bound</v>
      </c>
      <c r="D440" t="str">
        <f>RTD("tos.rtd", , "QUOTE_TREND", A440)</f>
        <v>instrument=TGT</v>
      </c>
      <c r="E440">
        <f>RTD("tos.rtd", , "NET_CHANGE", A440)</f>
        <v>3.04</v>
      </c>
      <c r="F440">
        <f>RTD("tos.rtd", , "BID", A440)</f>
        <v>58.06</v>
      </c>
      <c r="G440">
        <f>RTD("tos.rtd", , "ASK", A440)</f>
        <v>58.1</v>
      </c>
      <c r="H440">
        <f>RTD("tos.rtd", , "BID_SIZE", A440)</f>
        <v>4</v>
      </c>
      <c r="I440">
        <f>RTD("tos.rtd", , "ASK_SIZE", A440)</f>
        <v>10</v>
      </c>
      <c r="J440">
        <f>RTD("tos.rtd", , "VOLUME", A440)</f>
        <v>15957565</v>
      </c>
      <c r="K440">
        <f>RTD("tos.rtd", , "OPEN", A440)</f>
        <v>55.76</v>
      </c>
      <c r="L440">
        <f>RTD("tos.rtd", , "HIGH",A440)</f>
        <v>58.74</v>
      </c>
      <c r="M440">
        <f>RTD("tos.rtd", , "LOW", A440)</f>
        <v>55.72</v>
      </c>
      <c r="N440">
        <f>RTD("tos.rtd", , "52HIGH", A440)</f>
        <v>79.329899999999995</v>
      </c>
      <c r="O440">
        <f>RTD("tos.rtd", , "52LOW", A440)</f>
        <v>48.56</v>
      </c>
      <c r="P440">
        <f>RTD("tos.rtd", , "Mark", A440)</f>
        <v>58.1</v>
      </c>
    </row>
    <row r="441" spans="1:16" x14ac:dyDescent="0.25">
      <c r="A441" t="s">
        <v>453</v>
      </c>
      <c r="B441">
        <f>RTD("tos.rtd", , "Last", A441)</f>
        <v>13.24</v>
      </c>
      <c r="C441" t="str">
        <f>RTD("tos.rtd", , "STRENGTH_METER", A441)</f>
        <v>Range Bound</v>
      </c>
      <c r="D441" t="str">
        <f>RTD("tos.rtd", , "QUOTE_TREND", A441)</f>
        <v>instrument=THC</v>
      </c>
      <c r="E441">
        <f>RTD("tos.rtd", , "NET_CHANGE", A441)</f>
        <v>-0.36</v>
      </c>
      <c r="F441">
        <f>RTD("tos.rtd", , "BID", A441)</f>
        <v>13.06</v>
      </c>
      <c r="G441">
        <f>RTD("tos.rtd", , "ASK", A441)</f>
        <v>13.75</v>
      </c>
      <c r="H441">
        <f>RTD("tos.rtd", , "BID_SIZE", A441)</f>
        <v>4</v>
      </c>
      <c r="I441">
        <f>RTD("tos.rtd", , "ASK_SIZE", A441)</f>
        <v>92</v>
      </c>
      <c r="J441">
        <f>RTD("tos.rtd", , "VOLUME", A441)</f>
        <v>3650773</v>
      </c>
      <c r="K441">
        <f>RTD("tos.rtd", , "OPEN", A441)</f>
        <v>13.58</v>
      </c>
      <c r="L441">
        <f>RTD("tos.rtd", , "HIGH",A441)</f>
        <v>13.67</v>
      </c>
      <c r="M441">
        <f>RTD("tos.rtd", , "LOW", A441)</f>
        <v>12.96</v>
      </c>
      <c r="N441">
        <f>RTD("tos.rtd", , "52HIGH", A441)</f>
        <v>22.72</v>
      </c>
      <c r="O441">
        <f>RTD("tos.rtd", , "52LOW", A441)</f>
        <v>12.25</v>
      </c>
      <c r="P441">
        <f>RTD("tos.rtd", , "Mark", A441)</f>
        <v>13.24</v>
      </c>
    </row>
    <row r="442" spans="1:16" x14ac:dyDescent="0.25">
      <c r="A442" t="s">
        <v>454</v>
      </c>
      <c r="B442">
        <f>RTD("tos.rtd", , "Last", A442)</f>
        <v>94.83</v>
      </c>
      <c r="C442" t="str">
        <f>RTD("tos.rtd", , "STRENGTH_METER", A442)</f>
        <v>Range Bound</v>
      </c>
      <c r="D442" t="str">
        <f>RTD("tos.rtd", , "QUOTE_TREND", A442)</f>
        <v>instrument=TIF</v>
      </c>
      <c r="E442">
        <f>RTD("tos.rtd", , "NET_CHANGE", A442)</f>
        <v>1.89</v>
      </c>
      <c r="F442">
        <f>RTD("tos.rtd", , "BID", A442)</f>
        <v>90.21</v>
      </c>
      <c r="G442">
        <f>RTD("tos.rtd", , "ASK", A442)</f>
        <v>96.5</v>
      </c>
      <c r="H442">
        <f>RTD("tos.rtd", , "BID_SIZE", A442)</f>
        <v>5</v>
      </c>
      <c r="I442">
        <f>RTD("tos.rtd", , "ASK_SIZE", A442)</f>
        <v>1</v>
      </c>
      <c r="J442">
        <f>RTD("tos.rtd", , "VOLUME", A442)</f>
        <v>1535653</v>
      </c>
      <c r="K442">
        <f>RTD("tos.rtd", , "OPEN", A442)</f>
        <v>93.3</v>
      </c>
      <c r="L442">
        <f>RTD("tos.rtd", , "HIGH",A442)</f>
        <v>95.35</v>
      </c>
      <c r="M442">
        <f>RTD("tos.rtd", , "LOW", A442)</f>
        <v>93.07</v>
      </c>
      <c r="N442">
        <f>RTD("tos.rtd", , "52HIGH", A442)</f>
        <v>97.29</v>
      </c>
      <c r="O442">
        <f>RTD("tos.rtd", , "52LOW", A442)</f>
        <v>75.33</v>
      </c>
      <c r="P442">
        <f>RTD("tos.rtd", , "Mark", A442)</f>
        <v>94.83</v>
      </c>
    </row>
    <row r="443" spans="1:16" x14ac:dyDescent="0.25">
      <c r="A443" t="s">
        <v>455</v>
      </c>
      <c r="B443">
        <f>RTD("tos.rtd", , "Last", A443)</f>
        <v>71.02</v>
      </c>
      <c r="C443" t="str">
        <f>RTD("tos.rtd", , "STRENGTH_METER", A443)</f>
        <v>Range Bound</v>
      </c>
      <c r="D443" t="str">
        <f>RTD("tos.rtd", , "QUOTE_TREND", A443)</f>
        <v>instrument=TJX</v>
      </c>
      <c r="E443">
        <f>RTD("tos.rtd", , "NET_CHANGE", A443)</f>
        <v>1.96</v>
      </c>
      <c r="F443">
        <f>RTD("tos.rtd", , "BID", A443)</f>
        <v>70.849999999999994</v>
      </c>
      <c r="G443">
        <f>RTD("tos.rtd", , "ASK", A443)</f>
        <v>71.34</v>
      </c>
      <c r="H443">
        <f>RTD("tos.rtd", , "BID_SIZE", A443)</f>
        <v>6</v>
      </c>
      <c r="I443">
        <f>RTD("tos.rtd", , "ASK_SIZE", A443)</f>
        <v>1</v>
      </c>
      <c r="J443">
        <f>RTD("tos.rtd", , "VOLUME", A443)</f>
        <v>7837480</v>
      </c>
      <c r="K443">
        <f>RTD("tos.rtd", , "OPEN", A443)</f>
        <v>69.349999999999994</v>
      </c>
      <c r="L443">
        <f>RTD("tos.rtd", , "HIGH",A443)</f>
        <v>71.36</v>
      </c>
      <c r="M443">
        <f>RTD("tos.rtd", , "LOW", A443)</f>
        <v>69.349999999999994</v>
      </c>
      <c r="N443">
        <f>RTD("tos.rtd", , "52HIGH", A443)</f>
        <v>80.92</v>
      </c>
      <c r="O443">
        <f>RTD("tos.rtd", , "52LOW", A443)</f>
        <v>66.44</v>
      </c>
      <c r="P443">
        <f>RTD("tos.rtd", , "Mark", A443)</f>
        <v>71.02</v>
      </c>
    </row>
    <row r="444" spans="1:16" x14ac:dyDescent="0.25">
      <c r="A444" t="s">
        <v>456</v>
      </c>
      <c r="B444">
        <f>RTD("tos.rtd", , "Last", A444)</f>
        <v>85.44</v>
      </c>
      <c r="C444" t="str">
        <f>RTD("tos.rtd", , "STRENGTH_METER", A444)</f>
        <v>Range Bound</v>
      </c>
      <c r="D444" t="str">
        <f>RTD("tos.rtd", , "QUOTE_TREND", A444)</f>
        <v>instrument=TMK</v>
      </c>
      <c r="E444">
        <f>RTD("tos.rtd", , "NET_CHANGE", A444)</f>
        <v>0.43</v>
      </c>
      <c r="F444">
        <f>RTD("tos.rtd", , "BID", A444)</f>
        <v>80.48</v>
      </c>
      <c r="G444">
        <f>RTD("tos.rtd", , "ASK", A444)</f>
        <v>85.77</v>
      </c>
      <c r="H444">
        <f>RTD("tos.rtd", , "BID_SIZE", A444)</f>
        <v>1</v>
      </c>
      <c r="I444">
        <f>RTD("tos.rtd", , "ASK_SIZE", A444)</f>
        <v>1</v>
      </c>
      <c r="J444">
        <f>RTD("tos.rtd", , "VOLUME", A444)</f>
        <v>515987</v>
      </c>
      <c r="K444">
        <f>RTD("tos.rtd", , "OPEN", A444)</f>
        <v>84.68</v>
      </c>
      <c r="L444">
        <f>RTD("tos.rtd", , "HIGH",A444)</f>
        <v>85.72</v>
      </c>
      <c r="M444">
        <f>RTD("tos.rtd", , "LOW", A444)</f>
        <v>84.56</v>
      </c>
      <c r="N444">
        <f>RTD("tos.rtd", , "52HIGH", A444)</f>
        <v>86.5</v>
      </c>
      <c r="O444">
        <f>RTD("tos.rtd", , "52LOW", A444)</f>
        <v>69.14</v>
      </c>
      <c r="P444">
        <f>RTD("tos.rtd", , "Mark", A444)</f>
        <v>85.44</v>
      </c>
    </row>
    <row r="445" spans="1:16" x14ac:dyDescent="0.25">
      <c r="A445" t="s">
        <v>457</v>
      </c>
      <c r="B445">
        <f>RTD("tos.rtd", , "Last", A445)</f>
        <v>190.17</v>
      </c>
      <c r="C445" t="str">
        <f>RTD("tos.rtd", , "STRENGTH_METER", A445)</f>
        <v>Range Bound</v>
      </c>
      <c r="D445" t="str">
        <f>RTD("tos.rtd", , "QUOTE_TREND", A445)</f>
        <v>instrument=TMO</v>
      </c>
      <c r="E445">
        <f>RTD("tos.rtd", , "NET_CHANGE", A445)</f>
        <v>-0.44</v>
      </c>
      <c r="F445">
        <f>RTD("tos.rtd", , "BID", A445)</f>
        <v>190.01</v>
      </c>
      <c r="G445">
        <f>RTD("tos.rtd", , "ASK", A445)</f>
        <v>194.13</v>
      </c>
      <c r="H445">
        <f>RTD("tos.rtd", , "BID_SIZE", A445)</f>
        <v>1</v>
      </c>
      <c r="I445">
        <f>RTD("tos.rtd", , "ASK_SIZE", A445)</f>
        <v>1</v>
      </c>
      <c r="J445">
        <f>RTD("tos.rtd", , "VOLUME", A445)</f>
        <v>1145983</v>
      </c>
      <c r="K445">
        <f>RTD("tos.rtd", , "OPEN", A445)</f>
        <v>189.55</v>
      </c>
      <c r="L445">
        <f>RTD("tos.rtd", , "HIGH",A445)</f>
        <v>191.58</v>
      </c>
      <c r="M445">
        <f>RTD("tos.rtd", , "LOW", A445)</f>
        <v>189.55</v>
      </c>
      <c r="N445">
        <f>RTD("tos.rtd", , "52HIGH", A445)</f>
        <v>201.2</v>
      </c>
      <c r="O445">
        <f>RTD("tos.rtd", , "52LOW", A445)</f>
        <v>139.07</v>
      </c>
      <c r="P445">
        <f>RTD("tos.rtd", , "Mark", A445)</f>
        <v>190.17</v>
      </c>
    </row>
    <row r="446" spans="1:16" x14ac:dyDescent="0.25">
      <c r="A446" t="s">
        <v>458</v>
      </c>
      <c r="B446">
        <f>RTD("tos.rtd", , "Last", A446)</f>
        <v>30.59</v>
      </c>
      <c r="C446" t="str">
        <f>RTD("tos.rtd", , "STRENGTH_METER", A446)</f>
        <v>Downtrend</v>
      </c>
      <c r="D446" t="str">
        <f>RTD("tos.rtd", , "QUOTE_TREND", A446)</f>
        <v>instrument=TRIP</v>
      </c>
      <c r="E446">
        <f>RTD("tos.rtd", , "NET_CHANGE", A446)</f>
        <v>0.26</v>
      </c>
      <c r="F446">
        <f>RTD("tos.rtd", , "BID", A446)</f>
        <v>30.51</v>
      </c>
      <c r="G446">
        <f>RTD("tos.rtd", , "ASK", A446)</f>
        <v>30.66</v>
      </c>
      <c r="H446">
        <f>RTD("tos.rtd", , "BID_SIZE", A446)</f>
        <v>1</v>
      </c>
      <c r="I446">
        <f>RTD("tos.rtd", , "ASK_SIZE", A446)</f>
        <v>1</v>
      </c>
      <c r="J446">
        <f>RTD("tos.rtd", , "VOLUME", A446)</f>
        <v>3256896</v>
      </c>
      <c r="K446">
        <f>RTD("tos.rtd", , "OPEN", A446)</f>
        <v>30.24</v>
      </c>
      <c r="L446">
        <f>RTD("tos.rtd", , "HIGH",A446)</f>
        <v>30.64</v>
      </c>
      <c r="M446">
        <f>RTD("tos.rtd", , "LOW", A446)</f>
        <v>29.82</v>
      </c>
      <c r="N446">
        <f>RTD("tos.rtd", , "52HIGH", A446)</f>
        <v>53.58</v>
      </c>
      <c r="O446">
        <f>RTD("tos.rtd", , "52LOW", A446)</f>
        <v>29.5</v>
      </c>
      <c r="P446">
        <f>RTD("tos.rtd", , "Mark", A446)</f>
        <v>30.59</v>
      </c>
    </row>
    <row r="447" spans="1:16" x14ac:dyDescent="0.25">
      <c r="A447" t="s">
        <v>459</v>
      </c>
      <c r="B447">
        <f>RTD("tos.rtd", , "Last", A447)</f>
        <v>95.98</v>
      </c>
      <c r="C447" t="str">
        <f>RTD("tos.rtd", , "STRENGTH_METER", A447)</f>
        <v>Range Bound</v>
      </c>
      <c r="D447" t="str">
        <f>RTD("tos.rtd", , "QUOTE_TREND", A447)</f>
        <v>instrument=TROW</v>
      </c>
      <c r="E447">
        <f>RTD("tos.rtd", , "NET_CHANGE", A447)</f>
        <v>0.45</v>
      </c>
      <c r="F447">
        <f>RTD("tos.rtd", , "BID", A447)</f>
        <v>80.430000000000007</v>
      </c>
      <c r="G447">
        <f>RTD("tos.rtd", , "ASK", A447)</f>
        <v>120</v>
      </c>
      <c r="H447">
        <f>RTD("tos.rtd", , "BID_SIZE", A447)</f>
        <v>1</v>
      </c>
      <c r="I447">
        <f>RTD("tos.rtd", , "ASK_SIZE", A447)</f>
        <v>2</v>
      </c>
      <c r="J447">
        <f>RTD("tos.rtd", , "VOLUME", A447)</f>
        <v>839151</v>
      </c>
      <c r="K447">
        <f>RTD("tos.rtd", , "OPEN", A447)</f>
        <v>95.38</v>
      </c>
      <c r="L447">
        <f>RTD("tos.rtd", , "HIGH",A447)</f>
        <v>96.19</v>
      </c>
      <c r="M447">
        <f>RTD("tos.rtd", , "LOW", A447)</f>
        <v>95.24</v>
      </c>
      <c r="N447">
        <f>RTD("tos.rtd", , "52HIGH", A447)</f>
        <v>97.35</v>
      </c>
      <c r="O447">
        <f>RTD("tos.rtd", , "52LOW", A447)</f>
        <v>65.33</v>
      </c>
      <c r="P447">
        <f>RTD("tos.rtd", , "Mark", A447)</f>
        <v>95.98</v>
      </c>
    </row>
    <row r="448" spans="1:16" x14ac:dyDescent="0.25">
      <c r="A448" t="s">
        <v>460</v>
      </c>
      <c r="B448">
        <f>RTD("tos.rtd", , "Last", A448)</f>
        <v>129.91999999999999</v>
      </c>
      <c r="C448" t="str">
        <f>RTD("tos.rtd", , "STRENGTH_METER", A448)</f>
        <v>Range Bound</v>
      </c>
      <c r="D448" t="str">
        <f>RTD("tos.rtd", , "QUOTE_TREND", A448)</f>
        <v>instrument=TRV</v>
      </c>
      <c r="E448">
        <f>RTD("tos.rtd", , "NET_CHANGE", A448)</f>
        <v>-0.89</v>
      </c>
      <c r="F448">
        <f>RTD("tos.rtd", , "BID", A448)</f>
        <v>120.07</v>
      </c>
      <c r="G448">
        <f>RTD("tos.rtd", , "ASK", A448)</f>
        <v>131.4</v>
      </c>
      <c r="H448">
        <f>RTD("tos.rtd", , "BID_SIZE", A448)</f>
        <v>1</v>
      </c>
      <c r="I448">
        <f>RTD("tos.rtd", , "ASK_SIZE", A448)</f>
        <v>2</v>
      </c>
      <c r="J448">
        <f>RTD("tos.rtd", , "VOLUME", A448)</f>
        <v>2367329</v>
      </c>
      <c r="K448">
        <f>RTD("tos.rtd", , "OPEN", A448)</f>
        <v>130.66999999999999</v>
      </c>
      <c r="L448">
        <f>RTD("tos.rtd", , "HIGH",A448)</f>
        <v>130.79</v>
      </c>
      <c r="M448">
        <f>RTD("tos.rtd", , "LOW", A448)</f>
        <v>129.72</v>
      </c>
      <c r="N448">
        <f>RTD("tos.rtd", , "52HIGH", A448)</f>
        <v>135.71</v>
      </c>
      <c r="O448">
        <f>RTD("tos.rtd", , "52LOW", A448)</f>
        <v>110.395</v>
      </c>
      <c r="P448">
        <f>RTD("tos.rtd", , "Mark", A448)</f>
        <v>129.91999999999999</v>
      </c>
    </row>
    <row r="449" spans="1:16" x14ac:dyDescent="0.25">
      <c r="A449" t="s">
        <v>461</v>
      </c>
      <c r="B449">
        <f>RTD("tos.rtd", , "Last", A449)</f>
        <v>77.97</v>
      </c>
      <c r="C449" t="str">
        <f>RTD("tos.rtd", , "STRENGTH_METER", A449)</f>
        <v>Range Bound</v>
      </c>
      <c r="D449" t="str">
        <f>RTD("tos.rtd", , "QUOTE_TREND", A449)</f>
        <v>instrument=TSN</v>
      </c>
      <c r="E449">
        <f>RTD("tos.rtd", , "NET_CHANGE", A449)</f>
        <v>0.71</v>
      </c>
      <c r="F449">
        <f>RTD("tos.rtd", , "BID", A449)</f>
        <v>77.010000000000005</v>
      </c>
      <c r="G449">
        <f>RTD("tos.rtd", , "ASK", A449)</f>
        <v>78.010000000000005</v>
      </c>
      <c r="H449">
        <f>RTD("tos.rtd", , "BID_SIZE", A449)</f>
        <v>2</v>
      </c>
      <c r="I449">
        <f>RTD("tos.rtd", , "ASK_SIZE", A449)</f>
        <v>3</v>
      </c>
      <c r="J449">
        <f>RTD("tos.rtd", , "VOLUME", A449)</f>
        <v>2071776</v>
      </c>
      <c r="K449">
        <f>RTD("tos.rtd", , "OPEN", A449)</f>
        <v>76.83</v>
      </c>
      <c r="L449">
        <f>RTD("tos.rtd", , "HIGH",A449)</f>
        <v>78.03</v>
      </c>
      <c r="M449">
        <f>RTD("tos.rtd", , "LOW", A449)</f>
        <v>76.75</v>
      </c>
      <c r="N449">
        <f>RTD("tos.rtd", , "52HIGH", A449)</f>
        <v>77.739999999999995</v>
      </c>
      <c r="O449">
        <f>RTD("tos.rtd", , "52LOW", A449)</f>
        <v>55.72</v>
      </c>
      <c r="P449">
        <f>RTD("tos.rtd", , "Mark", A449)</f>
        <v>77.97</v>
      </c>
    </row>
    <row r="450" spans="1:16" x14ac:dyDescent="0.25">
      <c r="A450" t="s">
        <v>462</v>
      </c>
      <c r="B450">
        <f>RTD("tos.rtd", , "Last", A450)</f>
        <v>99.53</v>
      </c>
      <c r="C450" t="str">
        <f>RTD("tos.rtd", , "STRENGTH_METER", A450)</f>
        <v>Range Bound</v>
      </c>
      <c r="D450" t="str">
        <f>RTD("tos.rtd", , "QUOTE_TREND", A450)</f>
        <v>instrument=TSO</v>
      </c>
      <c r="E450">
        <f>RTD("tos.rtd", , "NET_CHANGE", A450)</f>
        <v>0</v>
      </c>
      <c r="F450">
        <f>RTD("tos.rtd", , "BID", A450)</f>
        <v>99.2</v>
      </c>
      <c r="G450">
        <f>RTD("tos.rtd", , "ASK", A450)</f>
        <v>99.8</v>
      </c>
      <c r="H450">
        <f>RTD("tos.rtd", , "BID_SIZE", A450)</f>
        <v>0</v>
      </c>
      <c r="I450">
        <f>RTD("tos.rtd", , "ASK_SIZE", A450)</f>
        <v>0</v>
      </c>
      <c r="J450">
        <f>RTD("tos.rtd", , "VOLUME", A450)</f>
        <v>0</v>
      </c>
      <c r="K450">
        <f>RTD("tos.rtd", , "OPEN", A450)</f>
        <v>0</v>
      </c>
      <c r="L450">
        <f>RTD("tos.rtd", , "HIGH",A450)</f>
        <v>0</v>
      </c>
      <c r="M450">
        <f>RTD("tos.rtd", , "LOW", A450)</f>
        <v>0</v>
      </c>
      <c r="N450">
        <f>RTD("tos.rtd", , "52HIGH", A450)</f>
        <v>99.76</v>
      </c>
      <c r="O450">
        <f>RTD("tos.rtd", , "52LOW", A450)</f>
        <v>72.78</v>
      </c>
      <c r="P450">
        <f>RTD("tos.rtd", , "Mark", A450)</f>
        <v>99.53</v>
      </c>
    </row>
    <row r="451" spans="1:16" x14ac:dyDescent="0.25">
      <c r="A451" t="s">
        <v>463</v>
      </c>
      <c r="B451">
        <f>RTD("tos.rtd", , "Last", A451)</f>
        <v>73.78</v>
      </c>
      <c r="C451" t="str">
        <f>RTD("tos.rtd", , "STRENGTH_METER", A451)</f>
        <v>Range Bound</v>
      </c>
      <c r="D451" t="str">
        <f>RTD("tos.rtd", , "QUOTE_TREND", A451)</f>
        <v>instrument=TSS</v>
      </c>
      <c r="E451">
        <f>RTD("tos.rtd", , "NET_CHANGE", A451)</f>
        <v>-0.24</v>
      </c>
      <c r="F451">
        <f>RTD("tos.rtd", , "BID", A451)</f>
        <v>0.7</v>
      </c>
      <c r="G451">
        <f>RTD("tos.rtd", , "ASK", A451)</f>
        <v>74.36</v>
      </c>
      <c r="H451">
        <f>RTD("tos.rtd", , "BID_SIZE", A451)</f>
        <v>1</v>
      </c>
      <c r="I451">
        <f>RTD("tos.rtd", , "ASK_SIZE", A451)</f>
        <v>1</v>
      </c>
      <c r="J451">
        <f>RTD("tos.rtd", , "VOLUME", A451)</f>
        <v>1007316</v>
      </c>
      <c r="K451">
        <f>RTD("tos.rtd", , "OPEN", A451)</f>
        <v>73.73</v>
      </c>
      <c r="L451">
        <f>RTD("tos.rtd", , "HIGH",A451)</f>
        <v>74.13</v>
      </c>
      <c r="M451">
        <f>RTD("tos.rtd", , "LOW", A451)</f>
        <v>73.44</v>
      </c>
      <c r="N451">
        <f>RTD("tos.rtd", , "52HIGH", A451)</f>
        <v>74.44</v>
      </c>
      <c r="O451">
        <f>RTD("tos.rtd", , "52LOW", A451)</f>
        <v>47.01</v>
      </c>
      <c r="P451">
        <f>RTD("tos.rtd", , "Mark", A451)</f>
        <v>73.78</v>
      </c>
    </row>
    <row r="452" spans="1:16" x14ac:dyDescent="0.25">
      <c r="A452" t="s">
        <v>464</v>
      </c>
      <c r="B452">
        <f>RTD("tos.rtd", , "Last", A452)</f>
        <v>0</v>
      </c>
      <c r="C452" t="str">
        <f>RTD("tos.rtd", , "STRENGTH_METER", A452)</f>
        <v>N/A</v>
      </c>
      <c r="D452" t="str">
        <f>RTD("tos.rtd", , "QUOTE_TREND", A452)</f>
        <v>instrument=TWC</v>
      </c>
      <c r="E452">
        <f>RTD("tos.rtd", , "NET_CHANGE", A452)</f>
        <v>0</v>
      </c>
      <c r="F452">
        <f>RTD("tos.rtd", , "BID", A452)</f>
        <v>206.1</v>
      </c>
      <c r="G452">
        <f>RTD("tos.rtd", , "ASK", A452)</f>
        <v>210.51</v>
      </c>
      <c r="H452">
        <f>RTD("tos.rtd", , "BID_SIZE", A452)</f>
        <v>0</v>
      </c>
      <c r="I452">
        <f>RTD("tos.rtd", , "ASK_SIZE", A452)</f>
        <v>0</v>
      </c>
      <c r="J452">
        <f>RTD("tos.rtd", , "VOLUME", A452)</f>
        <v>0</v>
      </c>
      <c r="K452">
        <f>RTD("tos.rtd", , "OPEN", A452)</f>
        <v>0</v>
      </c>
      <c r="L452">
        <f>RTD("tos.rtd", , "HIGH",A452)</f>
        <v>0</v>
      </c>
      <c r="M452">
        <f>RTD("tos.rtd", , "LOW", A452)</f>
        <v>0</v>
      </c>
      <c r="N452">
        <f>RTD("tos.rtd", , "52HIGH", A452)</f>
        <v>0</v>
      </c>
      <c r="O452">
        <f>RTD("tos.rtd", , "52LOW", A452)</f>
        <v>0</v>
      </c>
      <c r="P452">
        <f>RTD("tos.rtd", , "Mark", A452)</f>
        <v>206.1</v>
      </c>
    </row>
    <row r="453" spans="1:16" x14ac:dyDescent="0.25">
      <c r="A453" t="s">
        <v>465</v>
      </c>
      <c r="B453">
        <f>RTD("tos.rtd", , "Last", A453)</f>
        <v>88.72</v>
      </c>
      <c r="C453" t="str">
        <f>RTD("tos.rtd", , "STRENGTH_METER", A453)</f>
        <v>Downtrend</v>
      </c>
      <c r="D453" t="str">
        <f>RTD("tos.rtd", , "QUOTE_TREND", A453)</f>
        <v>instrument=TWX</v>
      </c>
      <c r="E453">
        <f>RTD("tos.rtd", , "NET_CHANGE", A453)</f>
        <v>0.71</v>
      </c>
      <c r="F453">
        <f>RTD("tos.rtd", , "BID", A453)</f>
        <v>88.5</v>
      </c>
      <c r="G453">
        <f>RTD("tos.rtd", , "ASK", A453)</f>
        <v>88.9</v>
      </c>
      <c r="H453">
        <f>RTD("tos.rtd", , "BID_SIZE", A453)</f>
        <v>15</v>
      </c>
      <c r="I453">
        <f>RTD("tos.rtd", , "ASK_SIZE", A453)</f>
        <v>1</v>
      </c>
      <c r="J453">
        <f>RTD("tos.rtd", , "VOLUME", A453)</f>
        <v>8317526</v>
      </c>
      <c r="K453">
        <f>RTD("tos.rtd", , "OPEN", A453)</f>
        <v>88.2</v>
      </c>
      <c r="L453">
        <f>RTD("tos.rtd", , "HIGH",A453)</f>
        <v>89.105000000000004</v>
      </c>
      <c r="M453">
        <f>RTD("tos.rtd", , "LOW", A453)</f>
        <v>87.81</v>
      </c>
      <c r="N453">
        <f>RTD("tos.rtd", , "52HIGH", A453)</f>
        <v>103.9</v>
      </c>
      <c r="O453">
        <f>RTD("tos.rtd", , "52LOW", A453)</f>
        <v>85.88</v>
      </c>
      <c r="P453">
        <f>RTD("tos.rtd", , "Mark", A453)</f>
        <v>88.72</v>
      </c>
    </row>
    <row r="454" spans="1:16" x14ac:dyDescent="0.25">
      <c r="A454" t="s">
        <v>466</v>
      </c>
      <c r="B454">
        <f>RTD("tos.rtd", , "Last", A454)</f>
        <v>97.74</v>
      </c>
      <c r="C454" t="str">
        <f>RTD("tos.rtd", , "STRENGTH_METER", A454)</f>
        <v>Range Bound</v>
      </c>
      <c r="D454" t="str">
        <f>RTD("tos.rtd", , "QUOTE_TREND", A454)</f>
        <v>instrument=TXN</v>
      </c>
      <c r="E454">
        <f>RTD("tos.rtd", , "NET_CHANGE", A454)</f>
        <v>-0.57999999999999996</v>
      </c>
      <c r="F454">
        <f>RTD("tos.rtd", , "BID", A454)</f>
        <v>97.32</v>
      </c>
      <c r="G454">
        <f>RTD("tos.rtd", , "ASK", A454)</f>
        <v>99.74</v>
      </c>
      <c r="H454">
        <f>RTD("tos.rtd", , "BID_SIZE", A454)</f>
        <v>2</v>
      </c>
      <c r="I454">
        <f>RTD("tos.rtd", , "ASK_SIZE", A454)</f>
        <v>2</v>
      </c>
      <c r="J454">
        <f>RTD("tos.rtd", , "VOLUME", A454)</f>
        <v>3780361</v>
      </c>
      <c r="K454">
        <f>RTD("tos.rtd", , "OPEN", A454)</f>
        <v>98.56</v>
      </c>
      <c r="L454">
        <f>RTD("tos.rtd", , "HIGH",A454)</f>
        <v>98.56</v>
      </c>
      <c r="M454">
        <f>RTD("tos.rtd", , "LOW", A454)</f>
        <v>97.61</v>
      </c>
      <c r="N454">
        <f>RTD("tos.rtd", , "52HIGH", A454)</f>
        <v>99.05</v>
      </c>
      <c r="O454">
        <f>RTD("tos.rtd", , "52LOW", A454)</f>
        <v>69.92</v>
      </c>
      <c r="P454">
        <f>RTD("tos.rtd", , "Mark", A454)</f>
        <v>97.74</v>
      </c>
    </row>
    <row r="455" spans="1:16" x14ac:dyDescent="0.25">
      <c r="A455" t="s">
        <v>467</v>
      </c>
      <c r="B455">
        <f>RTD("tos.rtd", , "Last", A455)</f>
        <v>52.97</v>
      </c>
      <c r="C455" t="str">
        <f>RTD("tos.rtd", , "STRENGTH_METER", A455)</f>
        <v>Range Bound</v>
      </c>
      <c r="D455" t="str">
        <f>RTD("tos.rtd", , "QUOTE_TREND", A455)</f>
        <v>instrument=TXT</v>
      </c>
      <c r="E455">
        <f>RTD("tos.rtd", , "NET_CHANGE", A455)</f>
        <v>7.0000000000000007E-2</v>
      </c>
      <c r="F455">
        <f>RTD("tos.rtd", , "BID", A455)</f>
        <v>48.5</v>
      </c>
      <c r="G455">
        <f>RTD("tos.rtd", , "ASK", A455)</f>
        <v>54</v>
      </c>
      <c r="H455">
        <f>RTD("tos.rtd", , "BID_SIZE", A455)</f>
        <v>3</v>
      </c>
      <c r="I455">
        <f>RTD("tos.rtd", , "ASK_SIZE", A455)</f>
        <v>3</v>
      </c>
      <c r="J455">
        <f>RTD("tos.rtd", , "VOLUME", A455)</f>
        <v>1467267</v>
      </c>
      <c r="K455">
        <f>RTD("tos.rtd", , "OPEN", A455)</f>
        <v>52.74</v>
      </c>
      <c r="L455">
        <f>RTD("tos.rtd", , "HIGH",A455)</f>
        <v>53.53</v>
      </c>
      <c r="M455">
        <f>RTD("tos.rtd", , "LOW", A455)</f>
        <v>52.61</v>
      </c>
      <c r="N455">
        <f>RTD("tos.rtd", , "52HIGH", A455)</f>
        <v>55.8</v>
      </c>
      <c r="O455">
        <f>RTD("tos.rtd", , "52LOW", A455)</f>
        <v>43.66</v>
      </c>
      <c r="P455">
        <f>RTD("tos.rtd", , "Mark", A455)</f>
        <v>52.97</v>
      </c>
    </row>
    <row r="456" spans="1:16" x14ac:dyDescent="0.25">
      <c r="A456" t="s">
        <v>468</v>
      </c>
      <c r="B456">
        <f>RTD("tos.rtd", , "Last", A456)</f>
        <v>0</v>
      </c>
      <c r="C456" t="str">
        <f>RTD("tos.rtd", , "STRENGTH_METER", A456)</f>
        <v>Downtrend</v>
      </c>
      <c r="D456" t="str">
        <f>RTD("tos.rtd", , "QUOTE_TREND", A456)</f>
        <v>instrument=TYC</v>
      </c>
      <c r="E456">
        <f>RTD("tos.rtd", , "NET_CHANGE", A456)</f>
        <v>0</v>
      </c>
      <c r="F456">
        <f>RTD("tos.rtd", , "BID", A456)</f>
        <v>44.52</v>
      </c>
      <c r="G456">
        <f>RTD("tos.rtd", , "ASK", A456)</f>
        <v>45.56</v>
      </c>
      <c r="H456">
        <f>RTD("tos.rtd", , "BID_SIZE", A456)</f>
        <v>0</v>
      </c>
      <c r="I456">
        <f>RTD("tos.rtd", , "ASK_SIZE", A456)</f>
        <v>0</v>
      </c>
      <c r="J456">
        <f>RTD("tos.rtd", , "VOLUME", A456)</f>
        <v>0</v>
      </c>
      <c r="K456">
        <f>RTD("tos.rtd", , "OPEN", A456)</f>
        <v>0</v>
      </c>
      <c r="L456">
        <f>RTD("tos.rtd", , "HIGH",A456)</f>
        <v>0</v>
      </c>
      <c r="M456">
        <f>RTD("tos.rtd", , "LOW", A456)</f>
        <v>0</v>
      </c>
      <c r="N456">
        <f>RTD("tos.rtd", , "52HIGH", A456)</f>
        <v>48.361255999999997</v>
      </c>
      <c r="O456">
        <f>RTD("tos.rtd", , "52LOW", A456)</f>
        <v>30.303664000000001</v>
      </c>
      <c r="P456">
        <f>RTD("tos.rtd", , "Mark", A456)</f>
        <v>44.52</v>
      </c>
    </row>
    <row r="457" spans="1:16" x14ac:dyDescent="0.25">
      <c r="A457" t="s">
        <v>469</v>
      </c>
      <c r="B457">
        <f>RTD("tos.rtd", , "Last", A457)</f>
        <v>209.9</v>
      </c>
      <c r="C457" t="str">
        <f>RTD("tos.rtd", , "STRENGTH_METER", A457)</f>
        <v>Range Bound</v>
      </c>
      <c r="D457" t="str">
        <f>RTD("tos.rtd", , "QUOTE_TREND", A457)</f>
        <v>instrument=UNH</v>
      </c>
      <c r="E457">
        <f>RTD("tos.rtd", , "NET_CHANGE", A457)</f>
        <v>-1.23</v>
      </c>
      <c r="F457">
        <f>RTD("tos.rtd", , "BID", A457)</f>
        <v>209.98</v>
      </c>
      <c r="G457">
        <f>RTD("tos.rtd", , "ASK", A457)</f>
        <v>210.96</v>
      </c>
      <c r="H457">
        <f>RTD("tos.rtd", , "BID_SIZE", A457)</f>
        <v>1</v>
      </c>
      <c r="I457">
        <f>RTD("tos.rtd", , "ASK_SIZE", A457)</f>
        <v>1</v>
      </c>
      <c r="J457">
        <f>RTD("tos.rtd", , "VOLUME", A457)</f>
        <v>1881873</v>
      </c>
      <c r="K457">
        <f>RTD("tos.rtd", , "OPEN", A457)</f>
        <v>210.46</v>
      </c>
      <c r="L457">
        <f>RTD("tos.rtd", , "HIGH",A457)</f>
        <v>211.45500000000001</v>
      </c>
      <c r="M457">
        <f>RTD("tos.rtd", , "LOW", A457)</f>
        <v>209.15</v>
      </c>
      <c r="N457">
        <f>RTD("tos.rtd", , "52HIGH", A457)</f>
        <v>213.93</v>
      </c>
      <c r="O457">
        <f>RTD("tos.rtd", , "52LOW", A457)</f>
        <v>148.56</v>
      </c>
      <c r="P457">
        <f>RTD("tos.rtd", , "Mark", A457)</f>
        <v>209.98</v>
      </c>
    </row>
    <row r="458" spans="1:16" x14ac:dyDescent="0.25">
      <c r="A458" t="s">
        <v>470</v>
      </c>
      <c r="B458">
        <f>RTD("tos.rtd", , "Last", A458)</f>
        <v>53.46</v>
      </c>
      <c r="C458" t="str">
        <f>RTD("tos.rtd", , "STRENGTH_METER", A458)</f>
        <v>Range Bound</v>
      </c>
      <c r="D458" t="str">
        <f>RTD("tos.rtd", , "QUOTE_TREND", A458)</f>
        <v>instrument=UNM</v>
      </c>
      <c r="E458">
        <f>RTD("tos.rtd", , "NET_CHANGE", A458)</f>
        <v>0.21</v>
      </c>
      <c r="F458">
        <f>RTD("tos.rtd", , "BID", A458)</f>
        <v>45.77</v>
      </c>
      <c r="G458">
        <f>RTD("tos.rtd", , "ASK", A458)</f>
        <v>54</v>
      </c>
      <c r="H458">
        <f>RTD("tos.rtd", , "BID_SIZE", A458)</f>
        <v>2</v>
      </c>
      <c r="I458">
        <f>RTD("tos.rtd", , "ASK_SIZE", A458)</f>
        <v>1</v>
      </c>
      <c r="J458">
        <f>RTD("tos.rtd", , "VOLUME", A458)</f>
        <v>1296043</v>
      </c>
      <c r="K458">
        <f>RTD("tos.rtd", , "OPEN", A458)</f>
        <v>53.02</v>
      </c>
      <c r="L458">
        <f>RTD("tos.rtd", , "HIGH",A458)</f>
        <v>53.6</v>
      </c>
      <c r="M458">
        <f>RTD("tos.rtd", , "LOW", A458)</f>
        <v>52.93</v>
      </c>
      <c r="N458">
        <f>RTD("tos.rtd", , "52HIGH", A458)</f>
        <v>53.61</v>
      </c>
      <c r="O458">
        <f>RTD("tos.rtd", , "52LOW", A458)</f>
        <v>41.4</v>
      </c>
      <c r="P458">
        <f>RTD("tos.rtd", , "Mark", A458)</f>
        <v>53.46</v>
      </c>
    </row>
    <row r="459" spans="1:16" x14ac:dyDescent="0.25">
      <c r="A459" t="s">
        <v>471</v>
      </c>
      <c r="B459">
        <f>RTD("tos.rtd", , "Last", A459)</f>
        <v>115.63</v>
      </c>
      <c r="C459" t="str">
        <f>RTD("tos.rtd", , "STRENGTH_METER", A459)</f>
        <v>Range Bound</v>
      </c>
      <c r="D459" t="str">
        <f>RTD("tos.rtd", , "QUOTE_TREND", A459)</f>
        <v>instrument=UNP</v>
      </c>
      <c r="E459">
        <f>RTD("tos.rtd", , "NET_CHANGE", A459)</f>
        <v>-0.94</v>
      </c>
      <c r="F459">
        <f>RTD("tos.rtd", , "BID", A459)</f>
        <v>115.63</v>
      </c>
      <c r="G459">
        <f>RTD("tos.rtd", , "ASK", A459)</f>
        <v>116.29</v>
      </c>
      <c r="H459">
        <f>RTD("tos.rtd", , "BID_SIZE", A459)</f>
        <v>2</v>
      </c>
      <c r="I459">
        <f>RTD("tos.rtd", , "ASK_SIZE", A459)</f>
        <v>1</v>
      </c>
      <c r="J459">
        <f>RTD("tos.rtd", , "VOLUME", A459)</f>
        <v>2126427</v>
      </c>
      <c r="K459">
        <f>RTD("tos.rtd", , "OPEN", A459)</f>
        <v>116.07</v>
      </c>
      <c r="L459">
        <f>RTD("tos.rtd", , "HIGH",A459)</f>
        <v>116.84</v>
      </c>
      <c r="M459">
        <f>RTD("tos.rtd", , "LOW", A459)</f>
        <v>115.5</v>
      </c>
      <c r="N459">
        <f>RTD("tos.rtd", , "52HIGH", A459)</f>
        <v>119.71</v>
      </c>
      <c r="O459">
        <f>RTD("tos.rtd", , "52LOW", A459)</f>
        <v>97.48</v>
      </c>
      <c r="P459">
        <f>RTD("tos.rtd", , "Mark", A459)</f>
        <v>115.63</v>
      </c>
    </row>
    <row r="460" spans="1:16" x14ac:dyDescent="0.25">
      <c r="A460" t="s">
        <v>472</v>
      </c>
      <c r="B460">
        <f>RTD("tos.rtd", , "Last", A460)</f>
        <v>112.94</v>
      </c>
      <c r="C460" t="str">
        <f>RTD("tos.rtd", , "STRENGTH_METER", A460)</f>
        <v>Range Bound</v>
      </c>
      <c r="D460" t="str">
        <f>RTD("tos.rtd", , "QUOTE_TREND", A460)</f>
        <v>instrument=UPS</v>
      </c>
      <c r="E460">
        <f>RTD("tos.rtd", , "NET_CHANGE", A460)</f>
        <v>-0.76</v>
      </c>
      <c r="F460">
        <f>RTD("tos.rtd", , "BID", A460)</f>
        <v>112.94</v>
      </c>
      <c r="G460">
        <f>RTD("tos.rtd", , "ASK", A460)</f>
        <v>114.45</v>
      </c>
      <c r="H460">
        <f>RTD("tos.rtd", , "BID_SIZE", A460)</f>
        <v>50</v>
      </c>
      <c r="I460">
        <f>RTD("tos.rtd", , "ASK_SIZE", A460)</f>
        <v>1</v>
      </c>
      <c r="J460">
        <f>RTD("tos.rtd", , "VOLUME", A460)</f>
        <v>2121868</v>
      </c>
      <c r="K460">
        <f>RTD("tos.rtd", , "OPEN", A460)</f>
        <v>113.33</v>
      </c>
      <c r="L460">
        <f>RTD("tos.rtd", , "HIGH",A460)</f>
        <v>113.5</v>
      </c>
      <c r="M460">
        <f>RTD("tos.rtd", , "LOW", A460)</f>
        <v>112.56</v>
      </c>
      <c r="N460">
        <f>RTD("tos.rtd", , "52HIGH", A460)</f>
        <v>121.75</v>
      </c>
      <c r="O460">
        <f>RTD("tos.rtd", , "52LOW", A460)</f>
        <v>102.12</v>
      </c>
      <c r="P460">
        <f>RTD("tos.rtd", , "Mark", A460)</f>
        <v>112.94</v>
      </c>
    </row>
    <row r="461" spans="1:16" x14ac:dyDescent="0.25">
      <c r="A461" t="s">
        <v>473</v>
      </c>
      <c r="B461">
        <f>RTD("tos.rtd", , "Last", A461)</f>
        <v>27.9</v>
      </c>
      <c r="C461" t="str">
        <f>RTD("tos.rtd", , "STRENGTH_METER", A461)</f>
        <v>Uptrend</v>
      </c>
      <c r="D461" t="str">
        <f>RTD("tos.rtd", , "QUOTE_TREND", A461)</f>
        <v>instrument=URBN</v>
      </c>
      <c r="E461">
        <f>RTD("tos.rtd", , "NET_CHANGE", A461)</f>
        <v>1.45</v>
      </c>
      <c r="F461">
        <f>RTD("tos.rtd", , "BID", A461)</f>
        <v>27.76</v>
      </c>
      <c r="G461">
        <f>RTD("tos.rtd", , "ASK", A461)</f>
        <v>28.52</v>
      </c>
      <c r="H461">
        <f>RTD("tos.rtd", , "BID_SIZE", A461)</f>
        <v>15</v>
      </c>
      <c r="I461">
        <f>RTD("tos.rtd", , "ASK_SIZE", A461)</f>
        <v>4</v>
      </c>
      <c r="J461">
        <f>RTD("tos.rtd", , "VOLUME", A461)</f>
        <v>9601548</v>
      </c>
      <c r="K461">
        <f>RTD("tos.rtd", , "OPEN", A461)</f>
        <v>27.55</v>
      </c>
      <c r="L461">
        <f>RTD("tos.rtd", , "HIGH",A461)</f>
        <v>28.05</v>
      </c>
      <c r="M461">
        <f>RTD("tos.rtd", , "LOW", A461)</f>
        <v>26.82</v>
      </c>
      <c r="N461">
        <f>RTD("tos.rtd", , "52HIGH", A461)</f>
        <v>39.71</v>
      </c>
      <c r="O461">
        <f>RTD("tos.rtd", , "52LOW", A461)</f>
        <v>16.1905</v>
      </c>
      <c r="P461">
        <f>RTD("tos.rtd", , "Mark", A461)</f>
        <v>27.9</v>
      </c>
    </row>
    <row r="462" spans="1:16" x14ac:dyDescent="0.25">
      <c r="A462" t="s">
        <v>474</v>
      </c>
      <c r="B462">
        <f>RTD("tos.rtd", , "Last", A462)</f>
        <v>51.88</v>
      </c>
      <c r="C462" t="str">
        <f>RTD("tos.rtd", , "STRENGTH_METER", A462)</f>
        <v>Range Bound</v>
      </c>
      <c r="D462" t="str">
        <f>RTD("tos.rtd", , "QUOTE_TREND", A462)</f>
        <v>instrument=USB</v>
      </c>
      <c r="E462">
        <f>RTD("tos.rtd", , "NET_CHANGE", A462)</f>
        <v>7.0000000000000007E-2</v>
      </c>
      <c r="F462">
        <f>RTD("tos.rtd", , "BID", A462)</f>
        <v>51.75</v>
      </c>
      <c r="G462">
        <f>RTD("tos.rtd", , "ASK", A462)</f>
        <v>51.91</v>
      </c>
      <c r="H462">
        <f>RTD("tos.rtd", , "BID_SIZE", A462)</f>
        <v>1</v>
      </c>
      <c r="I462">
        <f>RTD("tos.rtd", , "ASK_SIZE", A462)</f>
        <v>5</v>
      </c>
      <c r="J462">
        <f>RTD("tos.rtd", , "VOLUME", A462)</f>
        <v>3276472</v>
      </c>
      <c r="K462">
        <f>RTD("tos.rtd", , "OPEN", A462)</f>
        <v>51.58</v>
      </c>
      <c r="L462">
        <f>RTD("tos.rtd", , "HIGH",A462)</f>
        <v>52.04</v>
      </c>
      <c r="M462">
        <f>RTD("tos.rtd", , "LOW", A462)</f>
        <v>51.52</v>
      </c>
      <c r="N462">
        <f>RTD("tos.rtd", , "52HIGH", A462)</f>
        <v>56.61</v>
      </c>
      <c r="O462">
        <f>RTD("tos.rtd", , "52LOW", A462)</f>
        <v>47.59</v>
      </c>
      <c r="P462">
        <f>RTD("tos.rtd", , "Mark", A462)</f>
        <v>51.88</v>
      </c>
    </row>
    <row r="463" spans="1:16" x14ac:dyDescent="0.25">
      <c r="A463" t="s">
        <v>475</v>
      </c>
      <c r="B463">
        <f>RTD("tos.rtd", , "Last", A463)</f>
        <v>116.53</v>
      </c>
      <c r="C463" t="str">
        <f>RTD("tos.rtd", , "STRENGTH_METER", A463)</f>
        <v>Range Bound</v>
      </c>
      <c r="D463" t="str">
        <f>RTD("tos.rtd", , "QUOTE_TREND", A463)</f>
        <v>instrument=UTX</v>
      </c>
      <c r="E463">
        <f>RTD("tos.rtd", , "NET_CHANGE", A463)</f>
        <v>-1.36</v>
      </c>
      <c r="F463">
        <f>RTD("tos.rtd", , "BID", A463)</f>
        <v>116.45</v>
      </c>
      <c r="G463">
        <f>RTD("tos.rtd", , "ASK", A463)</f>
        <v>117.7</v>
      </c>
      <c r="H463">
        <f>RTD("tos.rtd", , "BID_SIZE", A463)</f>
        <v>1</v>
      </c>
      <c r="I463">
        <f>RTD("tos.rtd", , "ASK_SIZE", A463)</f>
        <v>3</v>
      </c>
      <c r="J463">
        <f>RTD("tos.rtd", , "VOLUME", A463)</f>
        <v>2582063</v>
      </c>
      <c r="K463">
        <f>RTD("tos.rtd", , "OPEN", A463)</f>
        <v>117.49</v>
      </c>
      <c r="L463">
        <f>RTD("tos.rtd", , "HIGH",A463)</f>
        <v>117.63</v>
      </c>
      <c r="M463">
        <f>RTD("tos.rtd", , "LOW", A463)</f>
        <v>116.48</v>
      </c>
      <c r="N463">
        <f>RTD("tos.rtd", , "52HIGH", A463)</f>
        <v>124.7899</v>
      </c>
      <c r="O463">
        <f>RTD("tos.rtd", , "52LOW", A463)</f>
        <v>106.21</v>
      </c>
      <c r="P463">
        <f>RTD("tos.rtd", , "Mark", A463)</f>
        <v>116.53</v>
      </c>
    </row>
    <row r="464" spans="1:16" x14ac:dyDescent="0.25">
      <c r="A464" t="s">
        <v>476</v>
      </c>
      <c r="B464">
        <f>RTD("tos.rtd", , "Last", A464)</f>
        <v>109.82</v>
      </c>
      <c r="C464" t="str">
        <f>RTD("tos.rtd", , "STRENGTH_METER", A464)</f>
        <v>Range Bound</v>
      </c>
      <c r="D464" t="str">
        <f>RTD("tos.rtd", , "QUOTE_TREND", A464)</f>
        <v>instrument=V</v>
      </c>
      <c r="E464">
        <f>RTD("tos.rtd", , "NET_CHANGE", A464)</f>
        <v>-1.2</v>
      </c>
      <c r="F464">
        <f>RTD("tos.rtd", , "BID", A464)</f>
        <v>109.78</v>
      </c>
      <c r="G464">
        <f>RTD("tos.rtd", , "ASK", A464)</f>
        <v>110.09</v>
      </c>
      <c r="H464">
        <f>RTD("tos.rtd", , "BID_SIZE", A464)</f>
        <v>9</v>
      </c>
      <c r="I464">
        <f>RTD("tos.rtd", , "ASK_SIZE", A464)</f>
        <v>5</v>
      </c>
      <c r="J464">
        <f>RTD("tos.rtd", , "VOLUME", A464)</f>
        <v>8799781</v>
      </c>
      <c r="K464">
        <f>RTD("tos.rtd", , "OPEN", A464)</f>
        <v>110.69</v>
      </c>
      <c r="L464">
        <f>RTD("tos.rtd", , "HIGH",A464)</f>
        <v>110.91</v>
      </c>
      <c r="M464">
        <f>RTD("tos.rtd", , "LOW", A464)</f>
        <v>109.7</v>
      </c>
      <c r="N464">
        <f>RTD("tos.rtd", , "52HIGH", A464)</f>
        <v>112.905</v>
      </c>
      <c r="O464">
        <f>RTD("tos.rtd", , "52LOW", A464)</f>
        <v>75.17</v>
      </c>
      <c r="P464">
        <f>RTD("tos.rtd", , "Mark", A464)</f>
        <v>109.82</v>
      </c>
    </row>
    <row r="465" spans="1:16" x14ac:dyDescent="0.25">
      <c r="A465" t="s">
        <v>477</v>
      </c>
      <c r="B465">
        <f>RTD("tos.rtd", , "Last", A465)</f>
        <v>109.03</v>
      </c>
      <c r="C465" t="str">
        <f>RTD("tos.rtd", , "STRENGTH_METER", A465)</f>
        <v>Range Bound</v>
      </c>
      <c r="D465" t="str">
        <f>RTD("tos.rtd", , "QUOTE_TREND", A465)</f>
        <v>instrument=VAR</v>
      </c>
      <c r="E465">
        <f>RTD("tos.rtd", , "NET_CHANGE", A465)</f>
        <v>-0.19</v>
      </c>
      <c r="F465">
        <f>RTD("tos.rtd", , "BID", A465)</f>
        <v>103.09</v>
      </c>
      <c r="G465">
        <f>RTD("tos.rtd", , "ASK", A465)</f>
        <v>115.03</v>
      </c>
      <c r="H465">
        <f>RTD("tos.rtd", , "BID_SIZE", A465)</f>
        <v>1</v>
      </c>
      <c r="I465">
        <f>RTD("tos.rtd", , "ASK_SIZE", A465)</f>
        <v>1</v>
      </c>
      <c r="J465">
        <f>RTD("tos.rtd", , "VOLUME", A465)</f>
        <v>611147</v>
      </c>
      <c r="K465">
        <f>RTD("tos.rtd", , "OPEN", A465)</f>
        <v>108.9</v>
      </c>
      <c r="L465">
        <f>RTD("tos.rtd", , "HIGH",A465)</f>
        <v>109.58499999999999</v>
      </c>
      <c r="M465">
        <f>RTD("tos.rtd", , "LOW", A465)</f>
        <v>108.25</v>
      </c>
      <c r="N465">
        <f>RTD("tos.rtd", , "52HIGH", A465)</f>
        <v>109.71</v>
      </c>
      <c r="O465">
        <f>RTD("tos.rtd", , "52LOW", A465)</f>
        <v>76.289302000000006</v>
      </c>
      <c r="P465">
        <f>RTD("tos.rtd", , "Mark", A465)</f>
        <v>109.03</v>
      </c>
    </row>
    <row r="466" spans="1:16" x14ac:dyDescent="0.25">
      <c r="A466" t="s">
        <v>478</v>
      </c>
      <c r="B466">
        <f>RTD("tos.rtd", , "Last", A466)</f>
        <v>70.81</v>
      </c>
      <c r="C466" t="str">
        <f>RTD("tos.rtd", , "STRENGTH_METER", A466)</f>
        <v>Range Bound</v>
      </c>
      <c r="D466" t="str">
        <f>RTD("tos.rtd", , "QUOTE_TREND", A466)</f>
        <v>instrument=VFC</v>
      </c>
      <c r="E466">
        <f>RTD("tos.rtd", , "NET_CHANGE", A466)</f>
        <v>0.73</v>
      </c>
      <c r="F466">
        <f>RTD("tos.rtd", , "BID", A466)</f>
        <v>68.63</v>
      </c>
      <c r="G466">
        <f>RTD("tos.rtd", , "ASK", A466)</f>
        <v>71.19</v>
      </c>
      <c r="H466">
        <f>RTD("tos.rtd", , "BID_SIZE", A466)</f>
        <v>3</v>
      </c>
      <c r="I466">
        <f>RTD("tos.rtd", , "ASK_SIZE", A466)</f>
        <v>1</v>
      </c>
      <c r="J466">
        <f>RTD("tos.rtd", , "VOLUME", A466)</f>
        <v>1796364</v>
      </c>
      <c r="K466">
        <f>RTD("tos.rtd", , "OPEN", A466)</f>
        <v>70.55</v>
      </c>
      <c r="L466">
        <f>RTD("tos.rtd", , "HIGH",A466)</f>
        <v>71.25</v>
      </c>
      <c r="M466">
        <f>RTD("tos.rtd", , "LOW", A466)</f>
        <v>70.55</v>
      </c>
      <c r="N466">
        <f>RTD("tos.rtd", , "52HIGH", A466)</f>
        <v>71.95</v>
      </c>
      <c r="O466">
        <f>RTD("tos.rtd", , "52LOW", A466)</f>
        <v>48.05</v>
      </c>
      <c r="P466">
        <f>RTD("tos.rtd", , "Mark", A466)</f>
        <v>70.81</v>
      </c>
    </row>
    <row r="467" spans="1:16" x14ac:dyDescent="0.25">
      <c r="A467" t="s">
        <v>479</v>
      </c>
      <c r="B467">
        <f>RTD("tos.rtd", , "Last", A467)</f>
        <v>26.15</v>
      </c>
      <c r="C467" t="str">
        <f>RTD("tos.rtd", , "STRENGTH_METER", A467)</f>
        <v>Range Bound</v>
      </c>
      <c r="D467" t="str">
        <f>RTD("tos.rtd", , "QUOTE_TREND", A467)</f>
        <v>instrument=VIAB</v>
      </c>
      <c r="E467">
        <f>RTD("tos.rtd", , "NET_CHANGE", A467)</f>
        <v>2.46</v>
      </c>
      <c r="F467">
        <f>RTD("tos.rtd", , "BID", A467)</f>
        <v>26.07</v>
      </c>
      <c r="G467">
        <f>RTD("tos.rtd", , "ASK", A467)</f>
        <v>26.2</v>
      </c>
      <c r="H467">
        <f>RTD("tos.rtd", , "BID_SIZE", A467)</f>
        <v>1</v>
      </c>
      <c r="I467">
        <f>RTD("tos.rtd", , "ASK_SIZE", A467)</f>
        <v>1</v>
      </c>
      <c r="J467">
        <f>RTD("tos.rtd", , "VOLUME", A467)</f>
        <v>14754278</v>
      </c>
      <c r="K467">
        <f>RTD("tos.rtd", , "OPEN", A467)</f>
        <v>23.94</v>
      </c>
      <c r="L467">
        <f>RTD("tos.rtd", , "HIGH",A467)</f>
        <v>26.35</v>
      </c>
      <c r="M467">
        <f>RTD("tos.rtd", , "LOW", A467)</f>
        <v>23.91</v>
      </c>
      <c r="N467">
        <f>RTD("tos.rtd", , "52HIGH", A467)</f>
        <v>46.72</v>
      </c>
      <c r="O467">
        <f>RTD("tos.rtd", , "52LOW", A467)</f>
        <v>22.13</v>
      </c>
      <c r="P467">
        <f>RTD("tos.rtd", , "Mark", A467)</f>
        <v>26.15</v>
      </c>
    </row>
    <row r="468" spans="1:16" x14ac:dyDescent="0.25">
      <c r="A468" t="s">
        <v>480</v>
      </c>
      <c r="B468">
        <f>RTD("tos.rtd", , "Last", A468)</f>
        <v>82.88</v>
      </c>
      <c r="C468" t="str">
        <f>RTD("tos.rtd", , "STRENGTH_METER", A468)</f>
        <v>Range Bound</v>
      </c>
      <c r="D468" t="str">
        <f>RTD("tos.rtd", , "QUOTE_TREND", A468)</f>
        <v>instrument=VLO</v>
      </c>
      <c r="E468">
        <f>RTD("tos.rtd", , "NET_CHANGE", A468)</f>
        <v>0.76</v>
      </c>
      <c r="F468">
        <f>RTD("tos.rtd", , "BID", A468)</f>
        <v>82.68</v>
      </c>
      <c r="G468">
        <f>RTD("tos.rtd", , "ASK", A468)</f>
        <v>82.88</v>
      </c>
      <c r="H468">
        <f>RTD("tos.rtd", , "BID_SIZE", A468)</f>
        <v>6</v>
      </c>
      <c r="I468">
        <f>RTD("tos.rtd", , "ASK_SIZE", A468)</f>
        <v>3</v>
      </c>
      <c r="J468">
        <f>RTD("tos.rtd", , "VOLUME", A468)</f>
        <v>2821231</v>
      </c>
      <c r="K468">
        <f>RTD("tos.rtd", , "OPEN", A468)</f>
        <v>81.849999999999994</v>
      </c>
      <c r="L468">
        <f>RTD("tos.rtd", , "HIGH",A468)</f>
        <v>82.92</v>
      </c>
      <c r="M468">
        <f>RTD("tos.rtd", , "LOW", A468)</f>
        <v>81.75</v>
      </c>
      <c r="N468">
        <f>RTD("tos.rtd", , "52HIGH", A468)</f>
        <v>82.61</v>
      </c>
      <c r="O468">
        <f>RTD("tos.rtd", , "52LOW", A468)</f>
        <v>60.35</v>
      </c>
      <c r="P468">
        <f>RTD("tos.rtd", , "Mark", A468)</f>
        <v>82.88</v>
      </c>
    </row>
    <row r="469" spans="1:16" x14ac:dyDescent="0.25">
      <c r="A469" t="s">
        <v>481</v>
      </c>
      <c r="B469">
        <f>RTD("tos.rtd", , "Last", A469)</f>
        <v>123.04</v>
      </c>
      <c r="C469" t="str">
        <f>RTD("tos.rtd", , "STRENGTH_METER", A469)</f>
        <v>Range Bound</v>
      </c>
      <c r="D469" t="str">
        <f>RTD("tos.rtd", , "QUOTE_TREND", A469)</f>
        <v>instrument=VMC</v>
      </c>
      <c r="E469">
        <f>RTD("tos.rtd", , "NET_CHANGE", A469)</f>
        <v>-0.81</v>
      </c>
      <c r="F469">
        <f>RTD("tos.rtd", , "BID", A469)</f>
        <v>122.01</v>
      </c>
      <c r="G469">
        <f>RTD("tos.rtd", , "ASK", A469)</f>
        <v>126.25</v>
      </c>
      <c r="H469">
        <f>RTD("tos.rtd", , "BID_SIZE", A469)</f>
        <v>2</v>
      </c>
      <c r="I469">
        <f>RTD("tos.rtd", , "ASK_SIZE", A469)</f>
        <v>2</v>
      </c>
      <c r="J469">
        <f>RTD("tos.rtd", , "VOLUME", A469)</f>
        <v>957362</v>
      </c>
      <c r="K469">
        <f>RTD("tos.rtd", , "OPEN", A469)</f>
        <v>123.26</v>
      </c>
      <c r="L469">
        <f>RTD("tos.rtd", , "HIGH",A469)</f>
        <v>124.99</v>
      </c>
      <c r="M469">
        <f>RTD("tos.rtd", , "LOW", A469)</f>
        <v>122.91</v>
      </c>
      <c r="N469">
        <f>RTD("tos.rtd", , "52HIGH", A469)</f>
        <v>136.82</v>
      </c>
      <c r="O469">
        <f>RTD("tos.rtd", , "52LOW", A469)</f>
        <v>108.95</v>
      </c>
      <c r="P469">
        <f>RTD("tos.rtd", , "Mark", A469)</f>
        <v>123.04</v>
      </c>
    </row>
    <row r="470" spans="1:16" x14ac:dyDescent="0.25">
      <c r="A470" t="s">
        <v>482</v>
      </c>
      <c r="B470">
        <f>RTD("tos.rtd", , "Last", A470)</f>
        <v>76.599999999999994</v>
      </c>
      <c r="C470" t="str">
        <f>RTD("tos.rtd", , "STRENGTH_METER", A470)</f>
        <v>Range Bound</v>
      </c>
      <c r="D470" t="str">
        <f>RTD("tos.rtd", , "QUOTE_TREND", A470)</f>
        <v>instrument=VNO</v>
      </c>
      <c r="E470">
        <f>RTD("tos.rtd", , "NET_CHANGE", A470)</f>
        <v>-0.22</v>
      </c>
      <c r="F470">
        <f>RTD("tos.rtd", , "BID", A470)</f>
        <v>72.62</v>
      </c>
      <c r="G470">
        <f>RTD("tos.rtd", , "ASK", A470)</f>
        <v>80.540000000000006</v>
      </c>
      <c r="H470">
        <f>RTD("tos.rtd", , "BID_SIZE", A470)</f>
        <v>1</v>
      </c>
      <c r="I470">
        <f>RTD("tos.rtd", , "ASK_SIZE", A470)</f>
        <v>1</v>
      </c>
      <c r="J470">
        <f>RTD("tos.rtd", , "VOLUME", A470)</f>
        <v>509289</v>
      </c>
      <c r="K470">
        <f>RTD("tos.rtd", , "OPEN", A470)</f>
        <v>76.569999999999993</v>
      </c>
      <c r="L470">
        <f>RTD("tos.rtd", , "HIGH",A470)</f>
        <v>77.069999999999993</v>
      </c>
      <c r="M470">
        <f>RTD("tos.rtd", , "LOW", A470)</f>
        <v>76.44</v>
      </c>
      <c r="N470">
        <f>RTD("tos.rtd", , "52HIGH", A470)</f>
        <v>90.286739999999995</v>
      </c>
      <c r="O470">
        <f>RTD("tos.rtd", , "52LOW", A470)</f>
        <v>71.894999999999996</v>
      </c>
      <c r="P470">
        <f>RTD("tos.rtd", , "Mark", A470)</f>
        <v>76.599999999999994</v>
      </c>
    </row>
    <row r="471" spans="1:16" x14ac:dyDescent="0.25">
      <c r="A471" t="s">
        <v>483</v>
      </c>
      <c r="B471">
        <f>RTD("tos.rtd", , "Last", A471)</f>
        <v>113.75</v>
      </c>
      <c r="C471" t="str">
        <f>RTD("tos.rtd", , "STRENGTH_METER", A471)</f>
        <v>Range Bound</v>
      </c>
      <c r="D471" t="str">
        <f>RTD("tos.rtd", , "QUOTE_TREND", A471)</f>
        <v>instrument=VRSN</v>
      </c>
      <c r="E471">
        <f>RTD("tos.rtd", , "NET_CHANGE", A471)</f>
        <v>0.78</v>
      </c>
      <c r="F471">
        <f>RTD("tos.rtd", , "BID", A471)</f>
        <v>107.83</v>
      </c>
      <c r="G471">
        <f>RTD("tos.rtd", , "ASK", A471)</f>
        <v>114.87</v>
      </c>
      <c r="H471">
        <f>RTD("tos.rtd", , "BID_SIZE", A471)</f>
        <v>0</v>
      </c>
      <c r="I471">
        <f>RTD("tos.rtd", , "ASK_SIZE", A471)</f>
        <v>1</v>
      </c>
      <c r="J471">
        <f>RTD("tos.rtd", , "VOLUME", A471)</f>
        <v>2327183</v>
      </c>
      <c r="K471">
        <f>RTD("tos.rtd", , "OPEN", A471)</f>
        <v>112.8</v>
      </c>
      <c r="L471">
        <f>RTD("tos.rtd", , "HIGH",A471)</f>
        <v>114</v>
      </c>
      <c r="M471">
        <f>RTD("tos.rtd", , "LOW", A471)</f>
        <v>112.6</v>
      </c>
      <c r="N471">
        <f>RTD("tos.rtd", , "52HIGH", A471)</f>
        <v>113.62</v>
      </c>
      <c r="O471">
        <f>RTD("tos.rtd", , "52LOW", A471)</f>
        <v>75.709999999999994</v>
      </c>
      <c r="P471">
        <f>RTD("tos.rtd", , "Mark", A471)</f>
        <v>113.75</v>
      </c>
    </row>
    <row r="472" spans="1:16" x14ac:dyDescent="0.25">
      <c r="A472" t="s">
        <v>484</v>
      </c>
      <c r="B472">
        <f>RTD("tos.rtd", , "Last", A472)</f>
        <v>64.400000000000006</v>
      </c>
      <c r="C472" t="str">
        <f>RTD("tos.rtd", , "STRENGTH_METER", A472)</f>
        <v>Range Bound</v>
      </c>
      <c r="D472" t="str">
        <f>RTD("tos.rtd", , "QUOTE_TREND", A472)</f>
        <v>instrument=VTR</v>
      </c>
      <c r="E472">
        <f>RTD("tos.rtd", , "NET_CHANGE", A472)</f>
        <v>-0.11</v>
      </c>
      <c r="F472">
        <f>RTD("tos.rtd", , "BID", A472)</f>
        <v>61.92</v>
      </c>
      <c r="G472">
        <f>RTD("tos.rtd", , "ASK", A472)</f>
        <v>64.510000000000005</v>
      </c>
      <c r="H472">
        <f>RTD("tos.rtd", , "BID_SIZE", A472)</f>
        <v>1</v>
      </c>
      <c r="I472">
        <f>RTD("tos.rtd", , "ASK_SIZE", A472)</f>
        <v>1</v>
      </c>
      <c r="J472">
        <f>RTD("tos.rtd", , "VOLUME", A472)</f>
        <v>1530460</v>
      </c>
      <c r="K472">
        <f>RTD("tos.rtd", , "OPEN", A472)</f>
        <v>64.27</v>
      </c>
      <c r="L472">
        <f>RTD("tos.rtd", , "HIGH",A472)</f>
        <v>64.75</v>
      </c>
      <c r="M472">
        <f>RTD("tos.rtd", , "LOW", A472)</f>
        <v>64.16</v>
      </c>
      <c r="N472">
        <f>RTD("tos.rtd", , "52HIGH", A472)</f>
        <v>72.36</v>
      </c>
      <c r="O472">
        <f>RTD("tos.rtd", , "52LOW", A472)</f>
        <v>57.97</v>
      </c>
      <c r="P472">
        <f>RTD("tos.rtd", , "Mark", A472)</f>
        <v>64.400000000000006</v>
      </c>
    </row>
    <row r="473" spans="1:16" x14ac:dyDescent="0.25">
      <c r="A473" t="s">
        <v>485</v>
      </c>
      <c r="B473">
        <f>RTD("tos.rtd", , "Last", A473)</f>
        <v>45.42</v>
      </c>
      <c r="C473" t="str">
        <f>RTD("tos.rtd", , "STRENGTH_METER", A473)</f>
        <v>Range Bound</v>
      </c>
      <c r="D473" t="str">
        <f>RTD("tos.rtd", , "QUOTE_TREND", A473)</f>
        <v>instrument=VZ</v>
      </c>
      <c r="E473">
        <f>RTD("tos.rtd", , "NET_CHANGE", A473)</f>
        <v>0.65</v>
      </c>
      <c r="F473">
        <f>RTD("tos.rtd", , "BID", A473)</f>
        <v>45.35</v>
      </c>
      <c r="G473">
        <f>RTD("tos.rtd", , "ASK", A473)</f>
        <v>45.4</v>
      </c>
      <c r="H473">
        <f>RTD("tos.rtd", , "BID_SIZE", A473)</f>
        <v>3</v>
      </c>
      <c r="I473">
        <f>RTD("tos.rtd", , "ASK_SIZE", A473)</f>
        <v>2</v>
      </c>
      <c r="J473">
        <f>RTD("tos.rtd", , "VOLUME", A473)</f>
        <v>18732228</v>
      </c>
      <c r="K473">
        <f>RTD("tos.rtd", , "OPEN", A473)</f>
        <v>44.63</v>
      </c>
      <c r="L473">
        <f>RTD("tos.rtd", , "HIGH",A473)</f>
        <v>45.77</v>
      </c>
      <c r="M473">
        <f>RTD("tos.rtd", , "LOW", A473)</f>
        <v>44.62</v>
      </c>
      <c r="N473">
        <f>RTD("tos.rtd", , "52HIGH", A473)</f>
        <v>54.83</v>
      </c>
      <c r="O473">
        <f>RTD("tos.rtd", , "52LOW", A473)</f>
        <v>42.8</v>
      </c>
      <c r="P473">
        <f>RTD("tos.rtd", , "Mark", A473)</f>
        <v>45.4</v>
      </c>
    </row>
    <row r="474" spans="1:16" x14ac:dyDescent="0.25">
      <c r="A474" t="s">
        <v>486</v>
      </c>
      <c r="B474">
        <f>RTD("tos.rtd", , "Last", A474)</f>
        <v>126.81</v>
      </c>
      <c r="C474" t="str">
        <f>RTD("tos.rtd", , "STRENGTH_METER", A474)</f>
        <v>N/A</v>
      </c>
      <c r="D474" t="str">
        <f>RTD("tos.rtd", , "QUOTE_TREND", A474)</f>
        <v>instrument=WAG</v>
      </c>
      <c r="E474">
        <f>RTD("tos.rtd", , "NET_CHANGE", A474)</f>
        <v>0</v>
      </c>
      <c r="F474">
        <f>RTD("tos.rtd", , "BID", A474)</f>
        <v>148.47999999999999</v>
      </c>
      <c r="G474">
        <f>RTD("tos.rtd", , "ASK", A474)</f>
        <v>133.03</v>
      </c>
      <c r="H474">
        <f>RTD("tos.rtd", , "BID_SIZE", A474)</f>
        <v>0</v>
      </c>
      <c r="I474">
        <f>RTD("tos.rtd", , "ASK_SIZE", A474)</f>
        <v>0</v>
      </c>
      <c r="J474">
        <f>RTD("tos.rtd", , "VOLUME", A474)</f>
        <v>0</v>
      </c>
      <c r="K474">
        <f>RTD("tos.rtd", , "OPEN", A474)</f>
        <v>0</v>
      </c>
      <c r="L474">
        <f>RTD("tos.rtd", , "HIGH",A474)</f>
        <v>0</v>
      </c>
      <c r="M474">
        <f>RTD("tos.rtd", , "LOW", A474)</f>
        <v>0</v>
      </c>
      <c r="N474">
        <f>RTD("tos.rtd", , "52HIGH", A474)</f>
        <v>149.51</v>
      </c>
      <c r="O474">
        <f>RTD("tos.rtd", , "52LOW", A474)</f>
        <v>100.03</v>
      </c>
      <c r="P474">
        <f>RTD("tos.rtd", , "Mark", A474)</f>
        <v>126.81</v>
      </c>
    </row>
    <row r="475" spans="1:16" x14ac:dyDescent="0.25">
      <c r="A475" t="s">
        <v>487</v>
      </c>
      <c r="B475">
        <f>RTD("tos.rtd", , "Last", A475)</f>
        <v>198.21</v>
      </c>
      <c r="C475" t="str">
        <f>RTD("tos.rtd", , "STRENGTH_METER", A475)</f>
        <v>Range Bound</v>
      </c>
      <c r="D475" t="str">
        <f>RTD("tos.rtd", , "QUOTE_TREND", A475)</f>
        <v>instrument=WAT</v>
      </c>
      <c r="E475">
        <f>RTD("tos.rtd", , "NET_CHANGE", A475)</f>
        <v>-1.39</v>
      </c>
      <c r="F475">
        <f>RTD("tos.rtd", , "BID", A475)</f>
        <v>187.18</v>
      </c>
      <c r="G475">
        <f>RTD("tos.rtd", , "ASK", A475)</f>
        <v>209.14</v>
      </c>
      <c r="H475">
        <f>RTD("tos.rtd", , "BID_SIZE", A475)</f>
        <v>1</v>
      </c>
      <c r="I475">
        <f>RTD("tos.rtd", , "ASK_SIZE", A475)</f>
        <v>1</v>
      </c>
      <c r="J475">
        <f>RTD("tos.rtd", , "VOLUME", A475)</f>
        <v>358374</v>
      </c>
      <c r="K475">
        <f>RTD("tos.rtd", , "OPEN", A475)</f>
        <v>198.6</v>
      </c>
      <c r="L475">
        <f>RTD("tos.rtd", , "HIGH",A475)</f>
        <v>199.15</v>
      </c>
      <c r="M475">
        <f>RTD("tos.rtd", , "LOW", A475)</f>
        <v>197.45</v>
      </c>
      <c r="N475">
        <f>RTD("tos.rtd", , "52HIGH", A475)</f>
        <v>199.83</v>
      </c>
      <c r="O475">
        <f>RTD("tos.rtd", , "52LOW", A475)</f>
        <v>133.35</v>
      </c>
      <c r="P475">
        <f>RTD("tos.rtd", , "Mark", A475)</f>
        <v>198.21</v>
      </c>
    </row>
    <row r="476" spans="1:16" x14ac:dyDescent="0.25">
      <c r="A476" t="s">
        <v>488</v>
      </c>
      <c r="B476">
        <f>RTD("tos.rtd", , "Last", A476)</f>
        <v>91.3</v>
      </c>
      <c r="C476" t="str">
        <f>RTD("tos.rtd", , "STRENGTH_METER", A476)</f>
        <v>Range Bound</v>
      </c>
      <c r="D476" t="str">
        <f>RTD("tos.rtd", , "QUOTE_TREND", A476)</f>
        <v>instrument=WDC</v>
      </c>
      <c r="E476">
        <f>RTD("tos.rtd", , "NET_CHANGE", A476)</f>
        <v>0.09</v>
      </c>
      <c r="F476">
        <f>RTD("tos.rtd", , "BID", A476)</f>
        <v>91.3</v>
      </c>
      <c r="G476">
        <f>RTD("tos.rtd", , "ASK", A476)</f>
        <v>91.5</v>
      </c>
      <c r="H476">
        <f>RTD("tos.rtd", , "BID_SIZE", A476)</f>
        <v>1</v>
      </c>
      <c r="I476">
        <f>RTD("tos.rtd", , "ASK_SIZE", A476)</f>
        <v>1</v>
      </c>
      <c r="J476">
        <f>RTD("tos.rtd", , "VOLUME", A476)</f>
        <v>1592305</v>
      </c>
      <c r="K476">
        <f>RTD("tos.rtd", , "OPEN", A476)</f>
        <v>91.17</v>
      </c>
      <c r="L476">
        <f>RTD("tos.rtd", , "HIGH",A476)</f>
        <v>91.635000000000005</v>
      </c>
      <c r="M476">
        <f>RTD("tos.rtd", , "LOW", A476)</f>
        <v>90.525000000000006</v>
      </c>
      <c r="N476">
        <f>RTD("tos.rtd", , "52HIGH", A476)</f>
        <v>95.77</v>
      </c>
      <c r="O476">
        <f>RTD("tos.rtd", , "52LOW", A476)</f>
        <v>57.62</v>
      </c>
      <c r="P476">
        <f>RTD("tos.rtd", , "Mark", A476)</f>
        <v>91.3</v>
      </c>
    </row>
    <row r="477" spans="1:16" x14ac:dyDescent="0.25">
      <c r="A477" t="s">
        <v>489</v>
      </c>
      <c r="B477">
        <f>RTD("tos.rtd", , "Last", A477)</f>
        <v>68.19</v>
      </c>
      <c r="C477" t="str">
        <f>RTD("tos.rtd", , "STRENGTH_METER", A477)</f>
        <v>Range Bound</v>
      </c>
      <c r="D477" t="str">
        <f>RTD("tos.rtd", , "QUOTE_TREND", A477)</f>
        <v>instrument=WEC</v>
      </c>
      <c r="E477">
        <f>RTD("tos.rtd", , "NET_CHANGE", A477)</f>
        <v>-0.57999999999999996</v>
      </c>
      <c r="F477">
        <f>RTD("tos.rtd", , "BID", A477)</f>
        <v>67.7</v>
      </c>
      <c r="G477">
        <f>RTD("tos.rtd", , "ASK", A477)</f>
        <v>68.5</v>
      </c>
      <c r="H477">
        <f>RTD("tos.rtd", , "BID_SIZE", A477)</f>
        <v>5</v>
      </c>
      <c r="I477">
        <f>RTD("tos.rtd", , "ASK_SIZE", A477)</f>
        <v>3</v>
      </c>
      <c r="J477">
        <f>RTD("tos.rtd", , "VOLUME", A477)</f>
        <v>1102754</v>
      </c>
      <c r="K477">
        <f>RTD("tos.rtd", , "OPEN", A477)</f>
        <v>68.5</v>
      </c>
      <c r="L477">
        <f>RTD("tos.rtd", , "HIGH",A477)</f>
        <v>68.849999999999994</v>
      </c>
      <c r="M477">
        <f>RTD("tos.rtd", , "LOW", A477)</f>
        <v>68.12</v>
      </c>
      <c r="N477">
        <f>RTD("tos.rtd", , "52HIGH", A477)</f>
        <v>70.09</v>
      </c>
      <c r="O477">
        <f>RTD("tos.rtd", , "52LOW", A477)</f>
        <v>54.83</v>
      </c>
      <c r="P477">
        <f>RTD("tos.rtd", , "Mark", A477)</f>
        <v>68.19</v>
      </c>
    </row>
    <row r="478" spans="1:16" x14ac:dyDescent="0.25">
      <c r="A478" t="s">
        <v>490</v>
      </c>
      <c r="B478">
        <f>RTD("tos.rtd", , "Last", A478)</f>
        <v>54.15</v>
      </c>
      <c r="C478" t="str">
        <f>RTD("tos.rtd", , "STRENGTH_METER", A478)</f>
        <v>Range Bound</v>
      </c>
      <c r="D478" t="str">
        <f>RTD("tos.rtd", , "QUOTE_TREND", A478)</f>
        <v>instrument=WFC</v>
      </c>
      <c r="E478">
        <f>RTD("tos.rtd", , "NET_CHANGE", A478)</f>
        <v>-0.45</v>
      </c>
      <c r="F478">
        <f>RTD("tos.rtd", , "BID", A478)</f>
        <v>54</v>
      </c>
      <c r="G478">
        <f>RTD("tos.rtd", , "ASK", A478)</f>
        <v>54.18</v>
      </c>
      <c r="H478">
        <f>RTD("tos.rtd", , "BID_SIZE", A478)</f>
        <v>10</v>
      </c>
      <c r="I478">
        <f>RTD("tos.rtd", , "ASK_SIZE", A478)</f>
        <v>1</v>
      </c>
      <c r="J478">
        <f>RTD("tos.rtd", , "VOLUME", A478)</f>
        <v>15244812</v>
      </c>
      <c r="K478">
        <f>RTD("tos.rtd", , "OPEN", A478)</f>
        <v>54.21</v>
      </c>
      <c r="L478">
        <f>RTD("tos.rtd", , "HIGH",A478)</f>
        <v>54.46</v>
      </c>
      <c r="M478">
        <f>RTD("tos.rtd", , "LOW", A478)</f>
        <v>53.97</v>
      </c>
      <c r="N478">
        <f>RTD("tos.rtd", , "52HIGH", A478)</f>
        <v>59.99</v>
      </c>
      <c r="O478">
        <f>RTD("tos.rtd", , "52LOW", A478)</f>
        <v>49.27</v>
      </c>
      <c r="P478">
        <f>RTD("tos.rtd", , "Mark", A478)</f>
        <v>54.15</v>
      </c>
    </row>
    <row r="479" spans="1:16" x14ac:dyDescent="0.25">
      <c r="A479" t="s">
        <v>491</v>
      </c>
      <c r="B479">
        <f>RTD("tos.rtd", , "Last", A479)</f>
        <v>0</v>
      </c>
      <c r="C479" t="str">
        <f>RTD("tos.rtd", , "STRENGTH_METER", A479)</f>
        <v>N/A</v>
      </c>
      <c r="D479" t="str">
        <f>RTD("tos.rtd", , "QUOTE_TREND", A479)</f>
        <v>instrument=WFM</v>
      </c>
      <c r="E479">
        <f>RTD("tos.rtd", , "NET_CHANGE", A479)</f>
        <v>0</v>
      </c>
      <c r="F479">
        <f>RTD("tos.rtd", , "BID", A479)</f>
        <v>42</v>
      </c>
      <c r="G479">
        <f>RTD("tos.rtd", , "ASK", A479)</f>
        <v>42.01</v>
      </c>
      <c r="H479">
        <f>RTD("tos.rtd", , "BID_SIZE", A479)</f>
        <v>0</v>
      </c>
      <c r="I479">
        <f>RTD("tos.rtd", , "ASK_SIZE", A479)</f>
        <v>0</v>
      </c>
      <c r="J479">
        <f>RTD("tos.rtd", , "VOLUME", A479)</f>
        <v>0</v>
      </c>
      <c r="K479">
        <f>RTD("tos.rtd", , "OPEN", A479)</f>
        <v>0</v>
      </c>
      <c r="L479">
        <f>RTD("tos.rtd", , "HIGH",A479)</f>
        <v>0</v>
      </c>
      <c r="M479">
        <f>RTD("tos.rtd", , "LOW", A479)</f>
        <v>0</v>
      </c>
      <c r="N479" t="str">
        <f>RTD("tos.rtd", , "52HIGH", A479)</f>
        <v>N/A</v>
      </c>
      <c r="O479" t="str">
        <f>RTD("tos.rtd", , "52LOW", A479)</f>
        <v>N/A</v>
      </c>
      <c r="P479">
        <f>RTD("tos.rtd", , "Mark", A479)</f>
        <v>42</v>
      </c>
    </row>
    <row r="480" spans="1:16" x14ac:dyDescent="0.25">
      <c r="A480" t="s">
        <v>492</v>
      </c>
      <c r="B480">
        <f>RTD("tos.rtd", , "Last", A480)</f>
        <v>165.4</v>
      </c>
      <c r="C480" t="str">
        <f>RTD("tos.rtd", , "STRENGTH_METER", A480)</f>
        <v>Range Bound</v>
      </c>
      <c r="D480" t="str">
        <f>RTD("tos.rtd", , "QUOTE_TREND", A480)</f>
        <v>instrument=WHR</v>
      </c>
      <c r="E480">
        <f>RTD("tos.rtd", , "NET_CHANGE", A480)</f>
        <v>2.52</v>
      </c>
      <c r="F480">
        <f>RTD("tos.rtd", , "BID", A480)</f>
        <v>159.44999999999999</v>
      </c>
      <c r="G480">
        <f>RTD("tos.rtd", , "ASK", A480)</f>
        <v>167.26</v>
      </c>
      <c r="H480">
        <f>RTD("tos.rtd", , "BID_SIZE", A480)</f>
        <v>1</v>
      </c>
      <c r="I480">
        <f>RTD("tos.rtd", , "ASK_SIZE", A480)</f>
        <v>1</v>
      </c>
      <c r="J480">
        <f>RTD("tos.rtd", , "VOLUME", A480)</f>
        <v>808171</v>
      </c>
      <c r="K480">
        <f>RTD("tos.rtd", , "OPEN", A480)</f>
        <v>162.41999999999999</v>
      </c>
      <c r="L480">
        <f>RTD("tos.rtd", , "HIGH",A480)</f>
        <v>166.08</v>
      </c>
      <c r="M480">
        <f>RTD("tos.rtd", , "LOW", A480)</f>
        <v>161.75</v>
      </c>
      <c r="N480">
        <f>RTD("tos.rtd", , "52HIGH", A480)</f>
        <v>202.99</v>
      </c>
      <c r="O480">
        <f>RTD("tos.rtd", , "52LOW", A480)</f>
        <v>158.80000000000001</v>
      </c>
      <c r="P480">
        <f>RTD("tos.rtd", , "Mark", A480)</f>
        <v>165.4</v>
      </c>
    </row>
    <row r="481" spans="1:16" x14ac:dyDescent="0.25">
      <c r="A481" t="s">
        <v>493</v>
      </c>
      <c r="B481">
        <f>RTD("tos.rtd", , "Last", A481)</f>
        <v>2.23</v>
      </c>
      <c r="C481" t="str">
        <f>RTD("tos.rtd", , "STRENGTH_METER", A481)</f>
        <v>Uptrend</v>
      </c>
      <c r="D481" t="str">
        <f>RTD("tos.rtd", , "QUOTE_TREND", A481)</f>
        <v>instrument=WIN</v>
      </c>
      <c r="E481">
        <f>RTD("tos.rtd", , "NET_CHANGE", A481)</f>
        <v>0.17</v>
      </c>
      <c r="F481">
        <f>RTD("tos.rtd", , "BID", A481)</f>
        <v>2.2000000000000002</v>
      </c>
      <c r="G481">
        <f>RTD("tos.rtd", , "ASK", A481)</f>
        <v>2.2599999999999998</v>
      </c>
      <c r="H481">
        <f>RTD("tos.rtd", , "BID_SIZE", A481)</f>
        <v>31</v>
      </c>
      <c r="I481">
        <f>RTD("tos.rtd", , "ASK_SIZE", A481)</f>
        <v>5</v>
      </c>
      <c r="J481">
        <f>RTD("tos.rtd", , "VOLUME", A481)</f>
        <v>4760359</v>
      </c>
      <c r="K481">
        <f>RTD("tos.rtd", , "OPEN", A481)</f>
        <v>2.0499999999999998</v>
      </c>
      <c r="L481">
        <f>RTD("tos.rtd", , "HIGH",A481)</f>
        <v>2.29</v>
      </c>
      <c r="M481">
        <f>RTD("tos.rtd", , "LOW", A481)</f>
        <v>2.04</v>
      </c>
      <c r="N481">
        <f>RTD("tos.rtd", , "52HIGH", A481)</f>
        <v>8.3498999999999999</v>
      </c>
      <c r="O481">
        <f>RTD("tos.rtd", , "52LOW", A481)</f>
        <v>1.73</v>
      </c>
      <c r="P481">
        <f>RTD("tos.rtd", , "Mark", A481)</f>
        <v>2.23</v>
      </c>
    </row>
    <row r="482" spans="1:16" x14ac:dyDescent="0.25">
      <c r="A482" t="s">
        <v>494</v>
      </c>
      <c r="B482">
        <f>RTD("tos.rtd", , "Last", A482)</f>
        <v>141.27000000000001</v>
      </c>
      <c r="C482" t="str">
        <f>RTD("tos.rtd", , "STRENGTH_METER", A482)</f>
        <v>N/A</v>
      </c>
      <c r="D482" t="str">
        <f>RTD("tos.rtd", , "QUOTE_TREND", A482)</f>
        <v>instrument=WLP</v>
      </c>
      <c r="E482">
        <f>RTD("tos.rtd", , "NET_CHANGE", A482)</f>
        <v>0</v>
      </c>
      <c r="F482">
        <f>RTD("tos.rtd", , "BID", A482)</f>
        <v>127.84</v>
      </c>
      <c r="G482">
        <f>RTD("tos.rtd", , "ASK", A482)</f>
        <v>145.38999999999999</v>
      </c>
      <c r="H482">
        <f>RTD("tos.rtd", , "BID_SIZE", A482)</f>
        <v>0</v>
      </c>
      <c r="I482">
        <f>RTD("tos.rtd", , "ASK_SIZE", A482)</f>
        <v>0</v>
      </c>
      <c r="J482">
        <f>RTD("tos.rtd", , "VOLUME", A482)</f>
        <v>0</v>
      </c>
      <c r="K482">
        <f>RTD("tos.rtd", , "OPEN", A482)</f>
        <v>0</v>
      </c>
      <c r="L482">
        <f>RTD("tos.rtd", , "HIGH",A482)</f>
        <v>0</v>
      </c>
      <c r="M482">
        <f>RTD("tos.rtd", , "LOW", A482)</f>
        <v>0</v>
      </c>
      <c r="N482">
        <f>RTD("tos.rtd", , "52HIGH", A482)</f>
        <v>149.51</v>
      </c>
      <c r="O482">
        <f>RTD("tos.rtd", , "52LOW", A482)</f>
        <v>100.03</v>
      </c>
      <c r="P482">
        <f>RTD("tos.rtd", , "Mark", A482)</f>
        <v>141.27000000000001</v>
      </c>
    </row>
    <row r="483" spans="1:16" x14ac:dyDescent="0.25">
      <c r="A483" t="s">
        <v>495</v>
      </c>
      <c r="B483">
        <f>RTD("tos.rtd", , "Last", A483)</f>
        <v>80.650000000000006</v>
      </c>
      <c r="C483" t="str">
        <f>RTD("tos.rtd", , "STRENGTH_METER", A483)</f>
        <v>Range Bound</v>
      </c>
      <c r="D483" t="str">
        <f>RTD("tos.rtd", , "QUOTE_TREND", A483)</f>
        <v>instrument=WM</v>
      </c>
      <c r="E483">
        <f>RTD("tos.rtd", , "NET_CHANGE", A483)</f>
        <v>-1.05</v>
      </c>
      <c r="F483">
        <f>RTD("tos.rtd", , "BID", A483)</f>
        <v>80.12</v>
      </c>
      <c r="G483">
        <f>RTD("tos.rtd", , "ASK", A483)</f>
        <v>82.07</v>
      </c>
      <c r="H483">
        <f>RTD("tos.rtd", , "BID_SIZE", A483)</f>
        <v>1</v>
      </c>
      <c r="I483">
        <f>RTD("tos.rtd", , "ASK_SIZE", A483)</f>
        <v>2</v>
      </c>
      <c r="J483">
        <f>RTD("tos.rtd", , "VOLUME", A483)</f>
        <v>2155363</v>
      </c>
      <c r="K483">
        <f>RTD("tos.rtd", , "OPEN", A483)</f>
        <v>81.61</v>
      </c>
      <c r="L483">
        <f>RTD("tos.rtd", , "HIGH",A483)</f>
        <v>81.72</v>
      </c>
      <c r="M483">
        <f>RTD("tos.rtd", , "LOW", A483)</f>
        <v>80.540000000000006</v>
      </c>
      <c r="N483">
        <f>RTD("tos.rtd", , "52HIGH", A483)</f>
        <v>82.87</v>
      </c>
      <c r="O483">
        <f>RTD("tos.rtd", , "52LOW", A483)</f>
        <v>68.3</v>
      </c>
      <c r="P483">
        <f>RTD("tos.rtd", , "Mark", A483)</f>
        <v>80.650000000000006</v>
      </c>
    </row>
    <row r="484" spans="1:16" x14ac:dyDescent="0.25">
      <c r="A484" t="s">
        <v>496</v>
      </c>
      <c r="B484">
        <f>RTD("tos.rtd", , "Last", A484)</f>
        <v>27.26</v>
      </c>
      <c r="C484" t="str">
        <f>RTD("tos.rtd", , "STRENGTH_METER", A484)</f>
        <v>Range Bound</v>
      </c>
      <c r="D484" t="str">
        <f>RTD("tos.rtd", , "QUOTE_TREND", A484)</f>
        <v>instrument=WMB</v>
      </c>
      <c r="E484">
        <f>RTD("tos.rtd", , "NET_CHANGE", A484)</f>
        <v>0.24</v>
      </c>
      <c r="F484">
        <f>RTD("tos.rtd", , "BID", A484)</f>
        <v>27.17</v>
      </c>
      <c r="G484">
        <f>RTD("tos.rtd", , "ASK", A484)</f>
        <v>27.28</v>
      </c>
      <c r="H484">
        <f>RTD("tos.rtd", , "BID_SIZE", A484)</f>
        <v>5</v>
      </c>
      <c r="I484">
        <f>RTD("tos.rtd", , "ASK_SIZE", A484)</f>
        <v>5</v>
      </c>
      <c r="J484">
        <f>RTD("tos.rtd", , "VOLUME", A484)</f>
        <v>4268199</v>
      </c>
      <c r="K484">
        <f>RTD("tos.rtd", , "OPEN", A484)</f>
        <v>27.03</v>
      </c>
      <c r="L484">
        <f>RTD("tos.rtd", , "HIGH",A484)</f>
        <v>27.35</v>
      </c>
      <c r="M484">
        <f>RTD("tos.rtd", , "LOW", A484)</f>
        <v>26.8188</v>
      </c>
      <c r="N484">
        <f>RTD("tos.rtd", , "52HIGH", A484)</f>
        <v>32.69</v>
      </c>
      <c r="O484">
        <f>RTD("tos.rtd", , "52LOW", A484)</f>
        <v>26.98</v>
      </c>
      <c r="P484">
        <f>RTD("tos.rtd", , "Mark", A484)</f>
        <v>27.26</v>
      </c>
    </row>
    <row r="485" spans="1:16" x14ac:dyDescent="0.25">
      <c r="A485" t="s">
        <v>497</v>
      </c>
      <c r="B485">
        <f>RTD("tos.rtd", , "Last", A485)</f>
        <v>97.47</v>
      </c>
      <c r="C485" t="str">
        <f>RTD("tos.rtd", , "STRENGTH_METER", A485)</f>
        <v>Uptrend</v>
      </c>
      <c r="D485" t="str">
        <f>RTD("tos.rtd", , "QUOTE_TREND", A485)</f>
        <v>instrument=WMT</v>
      </c>
      <c r="E485">
        <f>RTD("tos.rtd", , "NET_CHANGE", A485)</f>
        <v>-2.15</v>
      </c>
      <c r="F485">
        <f>RTD("tos.rtd", , "BID", A485)</f>
        <v>97.36</v>
      </c>
      <c r="G485">
        <f>RTD("tos.rtd", , "ASK", A485)</f>
        <v>97.41</v>
      </c>
      <c r="H485">
        <f>RTD("tos.rtd", , "BID_SIZE", A485)</f>
        <v>1</v>
      </c>
      <c r="I485">
        <f>RTD("tos.rtd", , "ASK_SIZE", A485)</f>
        <v>2</v>
      </c>
      <c r="J485">
        <f>RTD("tos.rtd", , "VOLUME", A485)</f>
        <v>23509299</v>
      </c>
      <c r="K485">
        <f>RTD("tos.rtd", , "OPEN", A485)</f>
        <v>99.24</v>
      </c>
      <c r="L485">
        <f>RTD("tos.rtd", , "HIGH",A485)</f>
        <v>100.13</v>
      </c>
      <c r="M485">
        <f>RTD("tos.rtd", , "LOW", A485)</f>
        <v>96.58</v>
      </c>
      <c r="N485">
        <f>RTD("tos.rtd", , "52HIGH", A485)</f>
        <v>99.68</v>
      </c>
      <c r="O485">
        <f>RTD("tos.rtd", , "52LOW", A485)</f>
        <v>65.28</v>
      </c>
      <c r="P485">
        <f>RTD("tos.rtd", , "Mark", A485)</f>
        <v>97.41</v>
      </c>
    </row>
    <row r="486" spans="1:16" x14ac:dyDescent="0.25">
      <c r="A486" t="s">
        <v>498</v>
      </c>
      <c r="B486" t="str">
        <f>RTD("tos.rtd", , "Last", A486)</f>
        <v>N/A</v>
      </c>
      <c r="C486" t="str">
        <f>RTD("tos.rtd", , "STRENGTH_METER", A486)</f>
        <v>N/A</v>
      </c>
      <c r="D486" t="str">
        <f>RTD("tos.rtd", , "QUOTE_TREND", A486)</f>
        <v>instrument=WPO</v>
      </c>
      <c r="E486" t="str">
        <f>RTD("tos.rtd", , "NET_CHANGE", A486)</f>
        <v>N/A</v>
      </c>
      <c r="F486" t="str">
        <f>RTD("tos.rtd", , "BID", A486)</f>
        <v>N/A</v>
      </c>
      <c r="G486" t="str">
        <f>RTD("tos.rtd", , "ASK", A486)</f>
        <v>N/A</v>
      </c>
      <c r="H486">
        <f>RTD("tos.rtd", , "BID_SIZE", A486)</f>
        <v>0</v>
      </c>
      <c r="I486">
        <f>RTD("tos.rtd", , "ASK_SIZE", A486)</f>
        <v>0</v>
      </c>
      <c r="J486" t="str">
        <f>RTD("tos.rtd", , "VOLUME", A486)</f>
        <v>N/A</v>
      </c>
      <c r="K486" t="str">
        <f>RTD("tos.rtd", , "OPEN", A486)</f>
        <v>N/A</v>
      </c>
      <c r="L486" t="str">
        <f>RTD("tos.rtd", , "HIGH",A486)</f>
        <v>N/A</v>
      </c>
      <c r="M486" t="str">
        <f>RTD("tos.rtd", , "LOW", A486)</f>
        <v>N/A</v>
      </c>
      <c r="N486" t="str">
        <f>RTD("tos.rtd", , "52HIGH", A486)</f>
        <v>N/A</v>
      </c>
      <c r="O486" t="str">
        <f>RTD("tos.rtd", , "52LOW", A486)</f>
        <v>N/A</v>
      </c>
      <c r="P486" t="str">
        <f>RTD("tos.rtd", , "Mark", A486)</f>
        <v>N/A</v>
      </c>
    </row>
    <row r="487" spans="1:16" x14ac:dyDescent="0.25">
      <c r="A487" t="s">
        <v>499</v>
      </c>
      <c r="B487">
        <f>RTD("tos.rtd", , "Last", A487)</f>
        <v>12.35</v>
      </c>
      <c r="C487" t="str">
        <f>RTD("tos.rtd", , "STRENGTH_METER", A487)</f>
        <v>Uptrend</v>
      </c>
      <c r="D487" t="str">
        <f>RTD("tos.rtd", , "QUOTE_TREND", A487)</f>
        <v>instrument=WPX</v>
      </c>
      <c r="E487">
        <f>RTD("tos.rtd", , "NET_CHANGE", A487)</f>
        <v>0.47</v>
      </c>
      <c r="F487">
        <f>RTD("tos.rtd", , "BID", A487)</f>
        <v>12.31</v>
      </c>
      <c r="G487">
        <f>RTD("tos.rtd", , "ASK", A487)</f>
        <v>12.35</v>
      </c>
      <c r="H487">
        <f>RTD("tos.rtd", , "BID_SIZE", A487)</f>
        <v>10</v>
      </c>
      <c r="I487">
        <f>RTD("tos.rtd", , "ASK_SIZE", A487)</f>
        <v>10</v>
      </c>
      <c r="J487">
        <f>RTD("tos.rtd", , "VOLUME", A487)</f>
        <v>6695680</v>
      </c>
      <c r="K487">
        <f>RTD("tos.rtd", , "OPEN", A487)</f>
        <v>12.03</v>
      </c>
      <c r="L487">
        <f>RTD("tos.rtd", , "HIGH",A487)</f>
        <v>12.36</v>
      </c>
      <c r="M487">
        <f>RTD("tos.rtd", , "LOW", A487)</f>
        <v>12</v>
      </c>
      <c r="N487">
        <f>RTD("tos.rtd", , "52HIGH", A487)</f>
        <v>16.170000000000002</v>
      </c>
      <c r="O487">
        <f>RTD("tos.rtd", , "52LOW", A487)</f>
        <v>8.39</v>
      </c>
      <c r="P487">
        <f>RTD("tos.rtd", , "Mark", A487)</f>
        <v>12.35</v>
      </c>
    </row>
    <row r="488" spans="1:16" x14ac:dyDescent="0.25">
      <c r="A488" t="s">
        <v>500</v>
      </c>
      <c r="B488">
        <f>RTD("tos.rtd", , "Last", A488)</f>
        <v>19.68</v>
      </c>
      <c r="C488" t="str">
        <f>RTD("tos.rtd", , "STRENGTH_METER", A488)</f>
        <v>Range Bound</v>
      </c>
      <c r="D488" t="str">
        <f>RTD("tos.rtd", , "QUOTE_TREND", A488)</f>
        <v>instrument=WU</v>
      </c>
      <c r="E488">
        <f>RTD("tos.rtd", , "NET_CHANGE", A488)</f>
        <v>-0.09</v>
      </c>
      <c r="F488">
        <f>RTD("tos.rtd", , "BID", A488)</f>
        <v>19.649999999999999</v>
      </c>
      <c r="G488">
        <f>RTD("tos.rtd", , "ASK", A488)</f>
        <v>19.71</v>
      </c>
      <c r="H488">
        <f>RTD("tos.rtd", , "BID_SIZE", A488)</f>
        <v>5</v>
      </c>
      <c r="I488">
        <f>RTD("tos.rtd", , "ASK_SIZE", A488)</f>
        <v>5</v>
      </c>
      <c r="J488">
        <f>RTD("tos.rtd", , "VOLUME", A488)</f>
        <v>2462517</v>
      </c>
      <c r="K488">
        <f>RTD("tos.rtd", , "OPEN", A488)</f>
        <v>19.68</v>
      </c>
      <c r="L488">
        <f>RTD("tos.rtd", , "HIGH",A488)</f>
        <v>19.809999999999999</v>
      </c>
      <c r="M488">
        <f>RTD("tos.rtd", , "LOW", A488)</f>
        <v>19.53</v>
      </c>
      <c r="N488">
        <f>RTD("tos.rtd", , "52HIGH", A488)</f>
        <v>22.7</v>
      </c>
      <c r="O488">
        <f>RTD("tos.rtd", , "52LOW", A488)</f>
        <v>18.39</v>
      </c>
      <c r="P488">
        <f>RTD("tos.rtd", , "Mark", A488)</f>
        <v>19.68</v>
      </c>
    </row>
    <row r="489" spans="1:16" x14ac:dyDescent="0.25">
      <c r="A489" t="s">
        <v>501</v>
      </c>
      <c r="B489">
        <f>RTD("tos.rtd", , "Last", A489)</f>
        <v>36.28</v>
      </c>
      <c r="C489" t="str">
        <f>RTD("tos.rtd", , "STRENGTH_METER", A489)</f>
        <v>Range Bound</v>
      </c>
      <c r="D489" t="str">
        <f>RTD("tos.rtd", , "QUOTE_TREND", A489)</f>
        <v>instrument=WY</v>
      </c>
      <c r="E489">
        <f>RTD("tos.rtd", , "NET_CHANGE", A489)</f>
        <v>-0.27</v>
      </c>
      <c r="F489">
        <f>RTD("tos.rtd", , "BID", A489)</f>
        <v>36.24</v>
      </c>
      <c r="G489">
        <f>RTD("tos.rtd", , "ASK", A489)</f>
        <v>36.340000000000003</v>
      </c>
      <c r="H489">
        <f>RTD("tos.rtd", , "BID_SIZE", A489)</f>
        <v>5</v>
      </c>
      <c r="I489">
        <f>RTD("tos.rtd", , "ASK_SIZE", A489)</f>
        <v>6</v>
      </c>
      <c r="J489">
        <f>RTD("tos.rtd", , "VOLUME", A489)</f>
        <v>2395746</v>
      </c>
      <c r="K489">
        <f>RTD("tos.rtd", , "OPEN", A489)</f>
        <v>36.35</v>
      </c>
      <c r="L489">
        <f>RTD("tos.rtd", , "HIGH",A489)</f>
        <v>36.619999999999997</v>
      </c>
      <c r="M489">
        <f>RTD("tos.rtd", , "LOW", A489)</f>
        <v>36.28</v>
      </c>
      <c r="N489">
        <f>RTD("tos.rtd", , "52HIGH", A489)</f>
        <v>36.92</v>
      </c>
      <c r="O489">
        <f>RTD("tos.rtd", , "52LOW", A489)</f>
        <v>29.81</v>
      </c>
      <c r="P489">
        <f>RTD("tos.rtd", , "Mark", A489)</f>
        <v>36.28</v>
      </c>
    </row>
    <row r="490" spans="1:16" x14ac:dyDescent="0.25">
      <c r="A490" t="s">
        <v>502</v>
      </c>
      <c r="B490">
        <f>RTD("tos.rtd", , "Last", A490)</f>
        <v>108.76</v>
      </c>
      <c r="C490" t="str">
        <f>RTD("tos.rtd", , "STRENGTH_METER", A490)</f>
        <v>Range Bound</v>
      </c>
      <c r="D490" t="str">
        <f>RTD("tos.rtd", , "QUOTE_TREND", A490)</f>
        <v>instrument=WYN</v>
      </c>
      <c r="E490">
        <f>RTD("tos.rtd", , "NET_CHANGE", A490)</f>
        <v>0.53</v>
      </c>
      <c r="F490">
        <f>RTD("tos.rtd", , "BID", A490)</f>
        <v>102</v>
      </c>
      <c r="G490">
        <f>RTD("tos.rtd", , "ASK", A490)</f>
        <v>109.25</v>
      </c>
      <c r="H490">
        <f>RTD("tos.rtd", , "BID_SIZE", A490)</f>
        <v>2</v>
      </c>
      <c r="I490">
        <f>RTD("tos.rtd", , "ASK_SIZE", A490)</f>
        <v>1</v>
      </c>
      <c r="J490">
        <f>RTD("tos.rtd", , "VOLUME", A490)</f>
        <v>610180</v>
      </c>
      <c r="K490">
        <f>RTD("tos.rtd", , "OPEN", A490)</f>
        <v>107.8</v>
      </c>
      <c r="L490">
        <f>RTD("tos.rtd", , "HIGH",A490)</f>
        <v>109.27</v>
      </c>
      <c r="M490" t="str">
        <f>RTD("tos.rtd", , "LOW", A490)</f>
        <v>Mon Nov 20 16:00:00 EST 2017</v>
      </c>
      <c r="N490">
        <f>RTD("tos.rtd", , "52HIGH", A490)</f>
        <v>110.74</v>
      </c>
      <c r="O490">
        <f>RTD("tos.rtd", , "52LOW", A490)</f>
        <v>71.09</v>
      </c>
      <c r="P490">
        <f>RTD("tos.rtd", , "Mark", A490)</f>
        <v>108.76</v>
      </c>
    </row>
    <row r="491" spans="1:16" x14ac:dyDescent="0.25">
      <c r="A491" t="s">
        <v>503</v>
      </c>
      <c r="B491">
        <f>RTD("tos.rtd", , "Last", A491)</f>
        <v>152.28</v>
      </c>
      <c r="C491" t="str">
        <f>RTD("tos.rtd", , "STRENGTH_METER", A491)</f>
        <v>Range Bound</v>
      </c>
      <c r="D491" t="str">
        <f>RTD("tos.rtd", , "QUOTE_TREND", A491)</f>
        <v>instrument=WYNN</v>
      </c>
      <c r="E491">
        <f>RTD("tos.rtd", , "NET_CHANGE", A491)</f>
        <v>-0.92</v>
      </c>
      <c r="F491">
        <f>RTD("tos.rtd", , "BID", A491)</f>
        <v>151.91</v>
      </c>
      <c r="G491">
        <f>RTD("tos.rtd", , "ASK", A491)</f>
        <v>152.49</v>
      </c>
      <c r="H491">
        <f>RTD("tos.rtd", , "BID_SIZE", A491)</f>
        <v>1</v>
      </c>
      <c r="I491">
        <f>RTD("tos.rtd", , "ASK_SIZE", A491)</f>
        <v>1</v>
      </c>
      <c r="J491">
        <f>RTD("tos.rtd", , "VOLUME", A491)</f>
        <v>838637</v>
      </c>
      <c r="K491">
        <f>RTD("tos.rtd", , "OPEN", A491)</f>
        <v>152.9</v>
      </c>
      <c r="L491">
        <f>RTD("tos.rtd", , "HIGH",A491)</f>
        <v>153.69</v>
      </c>
      <c r="M491">
        <f>RTD("tos.rtd", , "LOW", A491)</f>
        <v>151.97999999999999</v>
      </c>
      <c r="N491">
        <f>RTD("tos.rtd", , "52HIGH", A491)</f>
        <v>156.4</v>
      </c>
      <c r="O491">
        <f>RTD("tos.rtd", , "52LOW", A491)</f>
        <v>85.57</v>
      </c>
      <c r="P491">
        <f>RTD("tos.rtd", , "Mark", A491)</f>
        <v>152.28</v>
      </c>
    </row>
    <row r="492" spans="1:16" x14ac:dyDescent="0.25">
      <c r="A492" t="s">
        <v>504</v>
      </c>
      <c r="B492">
        <f>RTD("tos.rtd", , "Last", A492)</f>
        <v>27.28</v>
      </c>
      <c r="C492" t="str">
        <f>RTD("tos.rtd", , "STRENGTH_METER", A492)</f>
        <v>Range Bound</v>
      </c>
      <c r="D492" t="str">
        <f>RTD("tos.rtd", , "QUOTE_TREND", A492)</f>
        <v>instrument=X</v>
      </c>
      <c r="E492">
        <f>RTD("tos.rtd", , "NET_CHANGE", A492)</f>
        <v>0.15</v>
      </c>
      <c r="F492">
        <f>RTD("tos.rtd", , "BID", A492)</f>
        <v>27.18</v>
      </c>
      <c r="G492">
        <f>RTD("tos.rtd", , "ASK", A492)</f>
        <v>27.3</v>
      </c>
      <c r="H492">
        <f>RTD("tos.rtd", , "BID_SIZE", A492)</f>
        <v>24</v>
      </c>
      <c r="I492">
        <f>RTD("tos.rtd", , "ASK_SIZE", A492)</f>
        <v>50</v>
      </c>
      <c r="J492">
        <f>RTD("tos.rtd", , "VOLUME", A492)</f>
        <v>7301780</v>
      </c>
      <c r="K492">
        <f>RTD("tos.rtd", , "OPEN", A492)</f>
        <v>27.09</v>
      </c>
      <c r="L492">
        <f>RTD("tos.rtd", , "HIGH",A492)</f>
        <v>27.53</v>
      </c>
      <c r="M492">
        <f>RTD("tos.rtd", , "LOW", A492)</f>
        <v>26.89</v>
      </c>
      <c r="N492">
        <f>RTD("tos.rtd", , "52HIGH", A492)</f>
        <v>41.83</v>
      </c>
      <c r="O492">
        <f>RTD("tos.rtd", , "52LOW", A492)</f>
        <v>18.55</v>
      </c>
      <c r="P492">
        <f>RTD("tos.rtd", , "Mark", A492)</f>
        <v>27.28</v>
      </c>
    </row>
    <row r="493" spans="1:16" x14ac:dyDescent="0.25">
      <c r="A493" t="s">
        <v>505</v>
      </c>
      <c r="B493">
        <f>RTD("tos.rtd", , "Last", A493)</f>
        <v>50.89</v>
      </c>
      <c r="C493" t="str">
        <f>RTD("tos.rtd", , "STRENGTH_METER", A493)</f>
        <v>Range Bound</v>
      </c>
      <c r="D493" t="str">
        <f>RTD("tos.rtd", , "QUOTE_TREND", A493)</f>
        <v>instrument=XEL</v>
      </c>
      <c r="E493">
        <f>RTD("tos.rtd", , "NET_CHANGE", A493)</f>
        <v>-0.28999999999999998</v>
      </c>
      <c r="F493">
        <f>RTD("tos.rtd", , "BID", A493)</f>
        <v>50.89</v>
      </c>
      <c r="G493">
        <f>RTD("tos.rtd", , "ASK", A493)</f>
        <v>51.01</v>
      </c>
      <c r="H493">
        <f>RTD("tos.rtd", , "BID_SIZE", A493)</f>
        <v>1</v>
      </c>
      <c r="I493">
        <f>RTD("tos.rtd", , "ASK_SIZE", A493)</f>
        <v>1</v>
      </c>
      <c r="J493">
        <f>RTD("tos.rtd", , "VOLUME", A493)</f>
        <v>2182816</v>
      </c>
      <c r="K493">
        <f>RTD("tos.rtd", , "OPEN", A493)</f>
        <v>51.06</v>
      </c>
      <c r="L493">
        <f>RTD("tos.rtd", , "HIGH",A493)</f>
        <v>51.28</v>
      </c>
      <c r="M493">
        <f>RTD("tos.rtd", , "LOW", A493)</f>
        <v>50.8</v>
      </c>
      <c r="N493">
        <f>RTD("tos.rtd", , "52HIGH", A493)</f>
        <v>52.22</v>
      </c>
      <c r="O493">
        <f>RTD("tos.rtd", , "52LOW", A493)</f>
        <v>38.22</v>
      </c>
      <c r="P493">
        <f>RTD("tos.rtd", , "Mark", A493)</f>
        <v>50.89</v>
      </c>
    </row>
    <row r="494" spans="1:16" x14ac:dyDescent="0.25">
      <c r="A494" t="s">
        <v>506</v>
      </c>
      <c r="B494">
        <f>RTD("tos.rtd", , "Last", A494)</f>
        <v>38.630000000000003</v>
      </c>
      <c r="C494" t="str">
        <f>RTD("tos.rtd", , "STRENGTH_METER", A494)</f>
        <v>Range Bound</v>
      </c>
      <c r="D494" t="str">
        <f>RTD("tos.rtd", , "QUOTE_TREND", A494)</f>
        <v>instrument=XL</v>
      </c>
      <c r="E494">
        <f>RTD("tos.rtd", , "NET_CHANGE", A494)</f>
        <v>-0.04</v>
      </c>
      <c r="F494">
        <f>RTD("tos.rtd", , "BID", A494)</f>
        <v>36.799999999999997</v>
      </c>
      <c r="G494">
        <f>RTD("tos.rtd", , "ASK", A494)</f>
        <v>49.87</v>
      </c>
      <c r="H494">
        <f>RTD("tos.rtd", , "BID_SIZE", A494)</f>
        <v>10</v>
      </c>
      <c r="I494">
        <f>RTD("tos.rtd", , "ASK_SIZE", A494)</f>
        <v>1</v>
      </c>
      <c r="J494">
        <f>RTD("tos.rtd", , "VOLUME", A494)</f>
        <v>2699625</v>
      </c>
      <c r="K494">
        <f>RTD("tos.rtd", , "OPEN", A494)</f>
        <v>38.58</v>
      </c>
      <c r="L494">
        <f>RTD("tos.rtd", , "HIGH",A494)</f>
        <v>38.799999999999997</v>
      </c>
      <c r="M494">
        <f>RTD("tos.rtd", , "LOW", A494)</f>
        <v>38.26</v>
      </c>
      <c r="N494">
        <f>RTD("tos.rtd", , "52HIGH", A494)</f>
        <v>47.27</v>
      </c>
      <c r="O494">
        <f>RTD("tos.rtd", , "52LOW", A494)</f>
        <v>35.700000000000003</v>
      </c>
      <c r="P494">
        <f>RTD("tos.rtd", , "Mark", A494)</f>
        <v>38.630000000000003</v>
      </c>
    </row>
    <row r="495" spans="1:16" x14ac:dyDescent="0.25">
      <c r="A495" t="s">
        <v>507</v>
      </c>
      <c r="B495">
        <f>RTD("tos.rtd", , "Last", A495)</f>
        <v>71.81</v>
      </c>
      <c r="C495" t="str">
        <f>RTD("tos.rtd", , "STRENGTH_METER", A495)</f>
        <v>Range Bound</v>
      </c>
      <c r="D495" t="str">
        <f>RTD("tos.rtd", , "QUOTE_TREND", A495)</f>
        <v>instrument=XLNX</v>
      </c>
      <c r="E495">
        <f>RTD("tos.rtd", , "NET_CHANGE", A495)</f>
        <v>-0.86</v>
      </c>
      <c r="F495">
        <f>RTD("tos.rtd", , "BID", A495)</f>
        <v>71.099999999999994</v>
      </c>
      <c r="G495">
        <f>RTD("tos.rtd", , "ASK", A495)</f>
        <v>72.989999999999995</v>
      </c>
      <c r="H495">
        <f>RTD("tos.rtd", , "BID_SIZE", A495)</f>
        <v>1</v>
      </c>
      <c r="I495">
        <f>RTD("tos.rtd", , "ASK_SIZE", A495)</f>
        <v>1</v>
      </c>
      <c r="J495">
        <f>RTD("tos.rtd", , "VOLUME", A495)</f>
        <v>1798487</v>
      </c>
      <c r="K495">
        <f>RTD("tos.rtd", , "OPEN", A495)</f>
        <v>72.7</v>
      </c>
      <c r="L495">
        <f>RTD("tos.rtd", , "HIGH",A495)</f>
        <v>72.995000000000005</v>
      </c>
      <c r="M495">
        <f>RTD("tos.rtd", , "LOW", A495)</f>
        <v>71.59</v>
      </c>
      <c r="N495">
        <f>RTD("tos.rtd", , "52HIGH", A495)</f>
        <v>75.14</v>
      </c>
      <c r="O495">
        <f>RTD("tos.rtd", , "52LOW", A495)</f>
        <v>52.54</v>
      </c>
      <c r="P495">
        <f>RTD("tos.rtd", , "Mark", A495)</f>
        <v>71.81</v>
      </c>
    </row>
    <row r="496" spans="1:16" x14ac:dyDescent="0.25">
      <c r="A496" t="s">
        <v>508</v>
      </c>
      <c r="B496">
        <f>RTD("tos.rtd", , "Last", A496)</f>
        <v>80.239999999999995</v>
      </c>
      <c r="C496" t="str">
        <f>RTD("tos.rtd", , "STRENGTH_METER", A496)</f>
        <v>Range Bound</v>
      </c>
      <c r="D496" t="str">
        <f>RTD("tos.rtd", , "QUOTE_TREND", A496)</f>
        <v>instrument=XOM</v>
      </c>
      <c r="E496">
        <f>RTD("tos.rtd", , "NET_CHANGE", A496)</f>
        <v>-0.32</v>
      </c>
      <c r="F496">
        <f>RTD("tos.rtd", , "BID", A496)</f>
        <v>80.180000000000007</v>
      </c>
      <c r="G496">
        <f>RTD("tos.rtd", , "ASK", A496)</f>
        <v>80.239999999999995</v>
      </c>
      <c r="H496">
        <f>RTD("tos.rtd", , "BID_SIZE", A496)</f>
        <v>4</v>
      </c>
      <c r="I496">
        <f>RTD("tos.rtd", , "ASK_SIZE", A496)</f>
        <v>15</v>
      </c>
      <c r="J496">
        <f>RTD("tos.rtd", , "VOLUME", A496)</f>
        <v>9518227</v>
      </c>
      <c r="K496">
        <f>RTD("tos.rtd", , "OPEN", A496)</f>
        <v>80.319999999999993</v>
      </c>
      <c r="L496">
        <f>RTD("tos.rtd", , "HIGH",A496)</f>
        <v>80.66</v>
      </c>
      <c r="M496">
        <f>RTD("tos.rtd", , "LOW", A496)</f>
        <v>80.16</v>
      </c>
      <c r="N496">
        <f>RTD("tos.rtd", , "52HIGH", A496)</f>
        <v>93.215000000000003</v>
      </c>
      <c r="O496">
        <f>RTD("tos.rtd", , "52LOW", A496)</f>
        <v>76.05</v>
      </c>
      <c r="P496">
        <f>RTD("tos.rtd", , "Mark", A496)</f>
        <v>80.239999999999995</v>
      </c>
    </row>
    <row r="497" spans="1:16" x14ac:dyDescent="0.25">
      <c r="A497" t="s">
        <v>509</v>
      </c>
      <c r="B497">
        <f>RTD("tos.rtd", , "Last", A497)</f>
        <v>67.55</v>
      </c>
      <c r="C497" t="str">
        <f>RTD("tos.rtd", , "STRENGTH_METER", A497)</f>
        <v>Uptrend</v>
      </c>
      <c r="D497" t="str">
        <f>RTD("tos.rtd", , "QUOTE_TREND", A497)</f>
        <v>instrument=XRAY</v>
      </c>
      <c r="E497">
        <f>RTD("tos.rtd", , "NET_CHANGE", A497)</f>
        <v>0.37</v>
      </c>
      <c r="F497">
        <f>RTD("tos.rtd", , "BID", A497)</f>
        <v>66.61</v>
      </c>
      <c r="G497">
        <f>RTD("tos.rtd", , "ASK", A497)</f>
        <v>67.59</v>
      </c>
      <c r="H497">
        <f>RTD("tos.rtd", , "BID_SIZE", A497)</f>
        <v>3</v>
      </c>
      <c r="I497">
        <f>RTD("tos.rtd", , "ASK_SIZE", A497)</f>
        <v>3</v>
      </c>
      <c r="J497">
        <f>RTD("tos.rtd", , "VOLUME", A497)</f>
        <v>1390550</v>
      </c>
      <c r="K497">
        <f>RTD("tos.rtd", , "OPEN", A497)</f>
        <v>67.06</v>
      </c>
      <c r="L497">
        <f>RTD("tos.rtd", , "HIGH",A497)</f>
        <v>67.67</v>
      </c>
      <c r="M497">
        <f>RTD("tos.rtd", , "LOW", A497)</f>
        <v>66.974999999999994</v>
      </c>
      <c r="N497">
        <f>RTD("tos.rtd", , "52HIGH", A497)</f>
        <v>67.95</v>
      </c>
      <c r="O497">
        <f>RTD("tos.rtd", , "52LOW", A497)</f>
        <v>52.534999999999997</v>
      </c>
      <c r="P497">
        <f>RTD("tos.rtd", , "Mark", A497)</f>
        <v>67.55</v>
      </c>
    </row>
    <row r="498" spans="1:16" x14ac:dyDescent="0.25">
      <c r="A498" t="s">
        <v>510</v>
      </c>
      <c r="B498">
        <f>RTD("tos.rtd", , "Last", A498)</f>
        <v>28.36</v>
      </c>
      <c r="C498" t="str">
        <f>RTD("tos.rtd", , "STRENGTH_METER", A498)</f>
        <v>Downtrend</v>
      </c>
      <c r="D498" t="str">
        <f>RTD("tos.rtd", , "QUOTE_TREND", A498)</f>
        <v>instrument=XRX</v>
      </c>
      <c r="E498">
        <f>RTD("tos.rtd", , "NET_CHANGE", A498)</f>
        <v>0.1</v>
      </c>
      <c r="F498">
        <f>RTD("tos.rtd", , "BID", A498)</f>
        <v>25.52</v>
      </c>
      <c r="G498">
        <f>RTD("tos.rtd", , "ASK", A498)</f>
        <v>29.3</v>
      </c>
      <c r="H498">
        <f>RTD("tos.rtd", , "BID_SIZE", A498)</f>
        <v>1</v>
      </c>
      <c r="I498">
        <f>RTD("tos.rtd", , "ASK_SIZE", A498)</f>
        <v>4</v>
      </c>
      <c r="J498">
        <f>RTD("tos.rtd", , "VOLUME", A498)</f>
        <v>1716972</v>
      </c>
      <c r="K498">
        <f>RTD("tos.rtd", , "OPEN", A498)</f>
        <v>28.2</v>
      </c>
      <c r="L498">
        <f>RTD("tos.rtd", , "HIGH",A498)</f>
        <v>28.465</v>
      </c>
      <c r="M498">
        <f>RTD("tos.rtd", , "LOW", A498)</f>
        <v>28.07</v>
      </c>
      <c r="N498">
        <f>RTD("tos.rtd", , "52HIGH", A498)</f>
        <v>34.130000000000003</v>
      </c>
      <c r="O498">
        <f>RTD("tos.rtd", , "52LOW", A498)</f>
        <v>22.894614000000001</v>
      </c>
      <c r="P498">
        <f>RTD("tos.rtd", , "Mark", A498)</f>
        <v>28.36</v>
      </c>
    </row>
    <row r="499" spans="1:16" x14ac:dyDescent="0.25">
      <c r="A499" t="s">
        <v>511</v>
      </c>
      <c r="B499">
        <f>RTD("tos.rtd", , "Last", A499)</f>
        <v>66.42</v>
      </c>
      <c r="C499" t="str">
        <f>RTD("tos.rtd", , "STRENGTH_METER", A499)</f>
        <v>Range Bound</v>
      </c>
      <c r="D499" t="str">
        <f>RTD("tos.rtd", , "QUOTE_TREND", A499)</f>
        <v>instrument=XYL</v>
      </c>
      <c r="E499">
        <f>RTD("tos.rtd", , "NET_CHANGE", A499)</f>
        <v>-0.06</v>
      </c>
      <c r="F499">
        <f>RTD("tos.rtd", , "BID", A499)</f>
        <v>62.3</v>
      </c>
      <c r="G499">
        <f>RTD("tos.rtd", , "ASK", A499)</f>
        <v>67</v>
      </c>
      <c r="H499">
        <f>RTD("tos.rtd", , "BID_SIZE", A499)</f>
        <v>1</v>
      </c>
      <c r="I499">
        <f>RTD("tos.rtd", , "ASK_SIZE", A499)</f>
        <v>5</v>
      </c>
      <c r="J499">
        <f>RTD("tos.rtd", , "VOLUME", A499)</f>
        <v>561039</v>
      </c>
      <c r="K499">
        <f>RTD("tos.rtd", , "OPEN", A499)</f>
        <v>66.17</v>
      </c>
      <c r="L499">
        <f>RTD("tos.rtd", , "HIGH",A499)</f>
        <v>66.650000000000006</v>
      </c>
      <c r="M499">
        <f>RTD("tos.rtd", , "LOW", A499)</f>
        <v>65.680000000000007</v>
      </c>
      <c r="N499">
        <f>RTD("tos.rtd", , "52HIGH", A499)</f>
        <v>67.64</v>
      </c>
      <c r="O499">
        <f>RTD("tos.rtd", , "52LOW", A499)</f>
        <v>46.67</v>
      </c>
      <c r="P499">
        <f>RTD("tos.rtd", , "Mark", A499)</f>
        <v>66.42</v>
      </c>
    </row>
    <row r="500" spans="1:16" x14ac:dyDescent="0.25">
      <c r="A500" t="s">
        <v>512</v>
      </c>
      <c r="B500">
        <f>RTD("tos.rtd", , "Last", A500)</f>
        <v>0</v>
      </c>
      <c r="C500" t="str">
        <f>RTD("tos.rtd", , "STRENGTH_METER", A500)</f>
        <v>N/A</v>
      </c>
      <c r="D500" t="str">
        <f>RTD("tos.rtd", , "QUOTE_TREND", A500)</f>
        <v>instrument=YHOO</v>
      </c>
      <c r="E500">
        <f>RTD("tos.rtd", , "NET_CHANGE", A500)</f>
        <v>0</v>
      </c>
      <c r="F500">
        <f>RTD("tos.rtd", , "BID", A500)</f>
        <v>15.89</v>
      </c>
      <c r="G500">
        <f>RTD("tos.rtd", , "ASK", A500)</f>
        <v>15.87</v>
      </c>
      <c r="H500">
        <f>RTD("tos.rtd", , "BID_SIZE", A500)</f>
        <v>0</v>
      </c>
      <c r="I500">
        <f>RTD("tos.rtd", , "ASK_SIZE", A500)</f>
        <v>0</v>
      </c>
      <c r="J500">
        <f>RTD("tos.rtd", , "VOLUME", A500)</f>
        <v>0</v>
      </c>
      <c r="K500">
        <f>RTD("tos.rtd", , "OPEN", A500)</f>
        <v>0</v>
      </c>
      <c r="L500">
        <f>RTD("tos.rtd", , "HIGH",A500)</f>
        <v>0</v>
      </c>
      <c r="M500">
        <f>RTD("tos.rtd", , "LOW", A500)</f>
        <v>0</v>
      </c>
      <c r="N500" t="str">
        <f>RTD("tos.rtd", , "52HIGH", A500)</f>
        <v>N/A</v>
      </c>
      <c r="O500" t="str">
        <f>RTD("tos.rtd", , "52LOW", A500)</f>
        <v>N/A</v>
      </c>
      <c r="P500">
        <f>RTD("tos.rtd", , "Mark", A500)</f>
        <v>0</v>
      </c>
    </row>
    <row r="501" spans="1:16" x14ac:dyDescent="0.25">
      <c r="A501" t="s">
        <v>513</v>
      </c>
      <c r="B501">
        <f>RTD("tos.rtd", , "Last", A501)</f>
        <v>78.599999999999994</v>
      </c>
      <c r="C501" t="str">
        <f>RTD("tos.rtd", , "STRENGTH_METER", A501)</f>
        <v>Range Bound</v>
      </c>
      <c r="D501" t="str">
        <f>RTD("tos.rtd", , "QUOTE_TREND", A501)</f>
        <v>instrument=YUM</v>
      </c>
      <c r="E501">
        <f>RTD("tos.rtd", , "NET_CHANGE", A501)</f>
        <v>0.06</v>
      </c>
      <c r="F501">
        <f>RTD("tos.rtd", , "BID", A501)</f>
        <v>72.73</v>
      </c>
      <c r="G501">
        <f>RTD("tos.rtd", , "ASK", A501)</f>
        <v>79.37</v>
      </c>
      <c r="H501">
        <f>RTD("tos.rtd", , "BID_SIZE", A501)</f>
        <v>1</v>
      </c>
      <c r="I501">
        <f>RTD("tos.rtd", , "ASK_SIZE", A501)</f>
        <v>6</v>
      </c>
      <c r="J501">
        <f>RTD("tos.rtd", , "VOLUME", A501)</f>
        <v>1482056</v>
      </c>
      <c r="K501">
        <f>RTD("tos.rtd", , "OPEN", A501)</f>
        <v>78.319999999999993</v>
      </c>
      <c r="L501">
        <f>RTD("tos.rtd", , "HIGH",A501)</f>
        <v>78.78</v>
      </c>
      <c r="M501">
        <f>RTD("tos.rtd", , "LOW", A501)</f>
        <v>78.05</v>
      </c>
      <c r="N501">
        <f>RTD("tos.rtd", , "52HIGH", A501)</f>
        <v>81.650000000000006</v>
      </c>
      <c r="O501">
        <f>RTD("tos.rtd", , "52LOW", A501)</f>
        <v>60.34</v>
      </c>
      <c r="P501">
        <f>RTD("tos.rtd", , "Mark", A501)</f>
        <v>78.599999999999994</v>
      </c>
    </row>
    <row r="502" spans="1:16" x14ac:dyDescent="0.25">
      <c r="A502" t="s">
        <v>514</v>
      </c>
      <c r="B502">
        <f>RTD("tos.rtd", , "Last", A502)</f>
        <v>46.3</v>
      </c>
      <c r="C502" t="str">
        <f>RTD("tos.rtd", , "STRENGTH_METER", A502)</f>
        <v>Range Bound</v>
      </c>
      <c r="D502" t="str">
        <f>RTD("tos.rtd", , "QUOTE_TREND", A502)</f>
        <v>instrument=ZION</v>
      </c>
      <c r="E502">
        <f>RTD("tos.rtd", , "NET_CHANGE", A502)</f>
        <v>0.19</v>
      </c>
      <c r="F502">
        <f>RTD("tos.rtd", , "BID", A502)</f>
        <v>46.16</v>
      </c>
      <c r="G502">
        <f>RTD("tos.rtd", , "ASK", A502)</f>
        <v>46.36</v>
      </c>
      <c r="H502">
        <f>RTD("tos.rtd", , "BID_SIZE", A502)</f>
        <v>2</v>
      </c>
      <c r="I502">
        <f>RTD("tos.rtd", , "ASK_SIZE", A502)</f>
        <v>2</v>
      </c>
      <c r="J502">
        <f>RTD("tos.rtd", , "VOLUME", A502)</f>
        <v>1290488</v>
      </c>
      <c r="K502">
        <f>RTD("tos.rtd", , "OPEN", A502)</f>
        <v>45.91</v>
      </c>
      <c r="L502">
        <f>RTD("tos.rtd", , "HIGH",A502)</f>
        <v>46.46</v>
      </c>
      <c r="M502">
        <f>RTD("tos.rtd", , "LOW", A502)</f>
        <v>45.63</v>
      </c>
      <c r="N502">
        <f>RTD("tos.rtd", , "52HIGH", A502)</f>
        <v>48.33</v>
      </c>
      <c r="O502">
        <f>RTD("tos.rtd", , "52LOW", A502)</f>
        <v>36.57</v>
      </c>
      <c r="P502">
        <f>RTD("tos.rtd", , "Mark", A502)</f>
        <v>46.3</v>
      </c>
    </row>
    <row r="503" spans="1:16" x14ac:dyDescent="0.25">
      <c r="A503" t="s">
        <v>515</v>
      </c>
      <c r="B503">
        <f>RTD("tos.rtd", , "Last", A503)</f>
        <v>0</v>
      </c>
      <c r="C503" t="str">
        <f>RTD("tos.rtd", , "STRENGTH_METER", A503)</f>
        <v>N/A</v>
      </c>
      <c r="D503" t="str">
        <f>RTD("tos.rtd", , "QUOTE_TREND", A503)</f>
        <v>instrument=ZMH</v>
      </c>
      <c r="E503">
        <f>RTD("tos.rtd", , "NET_CHANGE", A503)</f>
        <v>0</v>
      </c>
      <c r="F503">
        <f>RTD("tos.rtd", , "BID", A503)</f>
        <v>110.33</v>
      </c>
      <c r="G503">
        <f>RTD("tos.rtd", , "ASK", A503)</f>
        <v>132</v>
      </c>
      <c r="H503">
        <f>RTD("tos.rtd", , "BID_SIZE", A503)</f>
        <v>0</v>
      </c>
      <c r="I503">
        <f>RTD("tos.rtd", , "ASK_SIZE", A503)</f>
        <v>0</v>
      </c>
      <c r="J503">
        <f>RTD("tos.rtd", , "VOLUME", A503)</f>
        <v>0</v>
      </c>
      <c r="K503">
        <f>RTD("tos.rtd", , "OPEN", A503)</f>
        <v>0</v>
      </c>
      <c r="L503">
        <f>RTD("tos.rtd", , "HIGH",A503)</f>
        <v>0</v>
      </c>
      <c r="M503">
        <f>RTD("tos.rtd", , "LOW", A503)</f>
        <v>0</v>
      </c>
      <c r="N503">
        <f>RTD("tos.rtd", , "52HIGH", A503)</f>
        <v>0</v>
      </c>
      <c r="O503">
        <f>RTD("tos.rtd", , "52LOW", A503)</f>
        <v>0</v>
      </c>
      <c r="P503">
        <f>RTD("tos.rtd", , "Mark", A503)</f>
        <v>110.33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Behrooz Karjoo</dc:creator>
  <cp:lastModifiedBy>Behrooz Karjoo</cp:lastModifiedBy>
  <dcterms:created xsi:type="dcterms:W3CDTF">2017-11-17T16:51:32Z</dcterms:created>
  <dcterms:modified xsi:type="dcterms:W3CDTF">2017-11-17T21:21:00Z</dcterms:modified>
</cp:coreProperties>
</file>